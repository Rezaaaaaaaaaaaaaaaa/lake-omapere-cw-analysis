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iwa.local\projects\hamilton\TKIL2602\Working\Lake Omapere Trust\CLUES_SS_NRC_2020\"/>
    </mc:Choice>
  </mc:AlternateContent>
  <xr:revisionPtr revIDLastSave="0" documentId="13_ncr:1_{4B5A2762-DFEC-4E46-9B8E-E75CE06BEC05}" xr6:coauthVersionLast="47" xr6:coauthVersionMax="47" xr10:uidLastSave="{00000000-0000-0000-0000-000000000000}"/>
  <bookViews>
    <workbookView xWindow="-120" yWindow="-120" windowWidth="29040" windowHeight="15720" activeTab="1" xr2:uid="{7912DBFD-2AA1-43CA-A575-BC98AA8188D0}"/>
  </bookViews>
  <sheets>
    <sheet name="LakeArea+0.66" sheetId="1" r:id="rId1"/>
    <sheet name="AreasRedonefromGIS" sheetId="5" r:id="rId2"/>
    <sheet name="Sheet1" sheetId="6" r:id="rId3"/>
    <sheet name="Riverlines" sheetId="3" r:id="rId4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"VZEN4AYSSGU8W7VG2KH7DF63"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3" i="5" l="1"/>
  <c r="BY6" i="5"/>
  <c r="BY7" i="5"/>
  <c r="BY8" i="5"/>
  <c r="BY9" i="5"/>
  <c r="BY10" i="5"/>
  <c r="BY11" i="5"/>
  <c r="BY12" i="5"/>
  <c r="BY13" i="5"/>
  <c r="BY14" i="5"/>
  <c r="BY15" i="5"/>
  <c r="BY16" i="5"/>
  <c r="BY17" i="5"/>
  <c r="BY18" i="5"/>
  <c r="BY19" i="5"/>
  <c r="BY20" i="5"/>
  <c r="BY21" i="5"/>
  <c r="BY22" i="5"/>
  <c r="BY24" i="5"/>
  <c r="BY25" i="5"/>
  <c r="BY26" i="5"/>
  <c r="BY27" i="5"/>
  <c r="BY28" i="5"/>
  <c r="BY29" i="5"/>
  <c r="BY30" i="5"/>
  <c r="BY31" i="5"/>
  <c r="BY32" i="5"/>
  <c r="BY33" i="5"/>
  <c r="BY34" i="5"/>
  <c r="BY35" i="5"/>
  <c r="BY36" i="5"/>
  <c r="BY37" i="5"/>
  <c r="BY38" i="5"/>
  <c r="BY39" i="5"/>
  <c r="BY40" i="5"/>
  <c r="BY41" i="5"/>
  <c r="BY42" i="5"/>
  <c r="BY43" i="5"/>
  <c r="BY44" i="5"/>
  <c r="BY45" i="5"/>
  <c r="BY46" i="5"/>
  <c r="BY47" i="5"/>
  <c r="BY48" i="5"/>
  <c r="BY49" i="5"/>
  <c r="BY50" i="5"/>
  <c r="BY51" i="5"/>
  <c r="BY52" i="5"/>
  <c r="BY53" i="5"/>
  <c r="BY54" i="5"/>
  <c r="BY55" i="5"/>
  <c r="BY5" i="5"/>
  <c r="BW60" i="5"/>
  <c r="BW61" i="5"/>
  <c r="BW62" i="5"/>
  <c r="BW63" i="5"/>
  <c r="BW64" i="5"/>
  <c r="BW65" i="5"/>
  <c r="BW66" i="5"/>
  <c r="BW67" i="5"/>
  <c r="BW68" i="5"/>
  <c r="BW69" i="5"/>
  <c r="BW70" i="5"/>
  <c r="BW71" i="5"/>
  <c r="BW72" i="5"/>
  <c r="BW73" i="5"/>
  <c r="BW74" i="5"/>
  <c r="BW75" i="5"/>
  <c r="BW76" i="5"/>
  <c r="BW77" i="5"/>
  <c r="BW78" i="5"/>
  <c r="BW79" i="5"/>
  <c r="BW80" i="5"/>
  <c r="BW81" i="5"/>
  <c r="BW82" i="5"/>
  <c r="BW83" i="5"/>
  <c r="BW84" i="5"/>
  <c r="BW85" i="5"/>
  <c r="BW86" i="5"/>
  <c r="BW87" i="5"/>
  <c r="BW88" i="5"/>
  <c r="BW89" i="5"/>
  <c r="BW90" i="5"/>
  <c r="BW91" i="5"/>
  <c r="BW92" i="5"/>
  <c r="BW93" i="5"/>
  <c r="BW94" i="5"/>
  <c r="BW95" i="5"/>
  <c r="BW96" i="5"/>
  <c r="BW97" i="5"/>
  <c r="BW98" i="5"/>
  <c r="BW99" i="5"/>
  <c r="BW100" i="5"/>
  <c r="BW101" i="5"/>
  <c r="BW102" i="5"/>
  <c r="BW103" i="5"/>
  <c r="BW104" i="5"/>
  <c r="BW105" i="5"/>
  <c r="BW106" i="5"/>
  <c r="BW107" i="5"/>
  <c r="BW108" i="5"/>
  <c r="BW109" i="5"/>
  <c r="BW59" i="5"/>
  <c r="BW6" i="5"/>
  <c r="BW7" i="5"/>
  <c r="BW8" i="5"/>
  <c r="BW9" i="5"/>
  <c r="BW10" i="5"/>
  <c r="BW11" i="5"/>
  <c r="BW12" i="5"/>
  <c r="BW13" i="5"/>
  <c r="BW14" i="5"/>
  <c r="BW15" i="5"/>
  <c r="BW16" i="5"/>
  <c r="BW17" i="5"/>
  <c r="BW18" i="5"/>
  <c r="BW19" i="5"/>
  <c r="BW20" i="5"/>
  <c r="BW21" i="5"/>
  <c r="BW22" i="5"/>
  <c r="BW23" i="5"/>
  <c r="BW24" i="5"/>
  <c r="BW25" i="5"/>
  <c r="BW26" i="5"/>
  <c r="BW27" i="5"/>
  <c r="BW28" i="5"/>
  <c r="BW29" i="5"/>
  <c r="BW30" i="5"/>
  <c r="BW31" i="5"/>
  <c r="BW32" i="5"/>
  <c r="BW33" i="5"/>
  <c r="BW34" i="5"/>
  <c r="BW35" i="5"/>
  <c r="BW36" i="5"/>
  <c r="BW37" i="5"/>
  <c r="BW38" i="5"/>
  <c r="BW39" i="5"/>
  <c r="BW40" i="5"/>
  <c r="BW41" i="5"/>
  <c r="BW42" i="5"/>
  <c r="BW43" i="5"/>
  <c r="BW44" i="5"/>
  <c r="BW45" i="5"/>
  <c r="BW46" i="5"/>
  <c r="BW47" i="5"/>
  <c r="BW48" i="5"/>
  <c r="BW49" i="5"/>
  <c r="BW50" i="5"/>
  <c r="BW51" i="5"/>
  <c r="BW52" i="5"/>
  <c r="BW53" i="5"/>
  <c r="BW54" i="5"/>
  <c r="BW55" i="5"/>
  <c r="BW5" i="5"/>
  <c r="BV109" i="5"/>
  <c r="BU109" i="5"/>
  <c r="BU108" i="5"/>
  <c r="BV108" i="5" s="1"/>
  <c r="BU107" i="5"/>
  <c r="BV107" i="5" s="1"/>
  <c r="BU106" i="5"/>
  <c r="BV106" i="5" s="1"/>
  <c r="BU105" i="5"/>
  <c r="BV105" i="5" s="1"/>
  <c r="BU104" i="5"/>
  <c r="BV104" i="5" s="1"/>
  <c r="BU103" i="5"/>
  <c r="BV103" i="5" s="1"/>
  <c r="BU102" i="5"/>
  <c r="BV102" i="5" s="1"/>
  <c r="BU101" i="5"/>
  <c r="BV101" i="5" s="1"/>
  <c r="BU100" i="5"/>
  <c r="BV100" i="5" s="1"/>
  <c r="BU99" i="5"/>
  <c r="BV99" i="5" s="1"/>
  <c r="BU98" i="5"/>
  <c r="BV98" i="5" s="1"/>
  <c r="BU97" i="5"/>
  <c r="BV97" i="5" s="1"/>
  <c r="BU96" i="5"/>
  <c r="BV96" i="5" s="1"/>
  <c r="BV95" i="5"/>
  <c r="BU95" i="5"/>
  <c r="BU94" i="5"/>
  <c r="BV94" i="5" s="1"/>
  <c r="BU93" i="5"/>
  <c r="BV93" i="5" s="1"/>
  <c r="BU92" i="5"/>
  <c r="BV92" i="5" s="1"/>
  <c r="BU91" i="5"/>
  <c r="BV91" i="5" s="1"/>
  <c r="BU90" i="5"/>
  <c r="BV90" i="5" s="1"/>
  <c r="BU89" i="5"/>
  <c r="BV89" i="5" s="1"/>
  <c r="BU88" i="5"/>
  <c r="BV88" i="5" s="1"/>
  <c r="BU87" i="5"/>
  <c r="BV87" i="5" s="1"/>
  <c r="BU86" i="5"/>
  <c r="BV86" i="5" s="1"/>
  <c r="BU85" i="5"/>
  <c r="BV85" i="5" s="1"/>
  <c r="BU84" i="5"/>
  <c r="BV84" i="5" s="1"/>
  <c r="BU83" i="5"/>
  <c r="BV83" i="5" s="1"/>
  <c r="BU82" i="5"/>
  <c r="BV82" i="5" s="1"/>
  <c r="BV81" i="5"/>
  <c r="BU81" i="5"/>
  <c r="BU80" i="5"/>
  <c r="BV80" i="5" s="1"/>
  <c r="BU79" i="5"/>
  <c r="BV79" i="5" s="1"/>
  <c r="BU78" i="5"/>
  <c r="BV78" i="5" s="1"/>
  <c r="BU77" i="5"/>
  <c r="BV77" i="5" s="1"/>
  <c r="BU76" i="5"/>
  <c r="BV76" i="5" s="1"/>
  <c r="BU75" i="5"/>
  <c r="BV75" i="5" s="1"/>
  <c r="BU74" i="5"/>
  <c r="BV74" i="5" s="1"/>
  <c r="BU73" i="5"/>
  <c r="BV73" i="5" s="1"/>
  <c r="BU72" i="5"/>
  <c r="BV72" i="5" s="1"/>
  <c r="BU71" i="5"/>
  <c r="BV71" i="5" s="1"/>
  <c r="BU70" i="5"/>
  <c r="BV70" i="5" s="1"/>
  <c r="BU69" i="5"/>
  <c r="BV69" i="5" s="1"/>
  <c r="BU68" i="5"/>
  <c r="BV68" i="5" s="1"/>
  <c r="BV67" i="5"/>
  <c r="BU67" i="5"/>
  <c r="BU66" i="5"/>
  <c r="BV66" i="5" s="1"/>
  <c r="BU65" i="5"/>
  <c r="BV65" i="5" s="1"/>
  <c r="BU64" i="5"/>
  <c r="BV64" i="5" s="1"/>
  <c r="BU63" i="5"/>
  <c r="BV63" i="5" s="1"/>
  <c r="BU62" i="5"/>
  <c r="BV62" i="5" s="1"/>
  <c r="BU61" i="5"/>
  <c r="BV61" i="5" s="1"/>
  <c r="BU60" i="5"/>
  <c r="BV60" i="5" s="1"/>
  <c r="BU59" i="5"/>
  <c r="BV59" i="5" s="1"/>
  <c r="BU55" i="5"/>
  <c r="BV55" i="5" s="1"/>
  <c r="BU54" i="5"/>
  <c r="BV54" i="5" s="1"/>
  <c r="BU53" i="5"/>
  <c r="BV53" i="5" s="1"/>
  <c r="BU52" i="5"/>
  <c r="BV52" i="5" s="1"/>
  <c r="BU51" i="5"/>
  <c r="BV51" i="5" s="1"/>
  <c r="BV50" i="5"/>
  <c r="BU50" i="5"/>
  <c r="BU49" i="5"/>
  <c r="BV49" i="5" s="1"/>
  <c r="BU48" i="5"/>
  <c r="BV48" i="5" s="1"/>
  <c r="BU47" i="5"/>
  <c r="BV47" i="5" s="1"/>
  <c r="BU46" i="5"/>
  <c r="BV46" i="5" s="1"/>
  <c r="BU45" i="5"/>
  <c r="BV45" i="5" s="1"/>
  <c r="BV44" i="5"/>
  <c r="BU44" i="5"/>
  <c r="BU43" i="5"/>
  <c r="BV43" i="5" s="1"/>
  <c r="BU42" i="5"/>
  <c r="BV42" i="5" s="1"/>
  <c r="BU41" i="5"/>
  <c r="BV41" i="5" s="1"/>
  <c r="BU40" i="5"/>
  <c r="BV40" i="5" s="1"/>
  <c r="BU39" i="5"/>
  <c r="BV39" i="5" s="1"/>
  <c r="BU38" i="5"/>
  <c r="BV38" i="5" s="1"/>
  <c r="BU37" i="5"/>
  <c r="BV37" i="5" s="1"/>
  <c r="BV36" i="5"/>
  <c r="BU36" i="5"/>
  <c r="BU35" i="5"/>
  <c r="BV35" i="5" s="1"/>
  <c r="BU34" i="5"/>
  <c r="BV34" i="5" s="1"/>
  <c r="BU33" i="5"/>
  <c r="BV33" i="5" s="1"/>
  <c r="BU32" i="5"/>
  <c r="BV32" i="5" s="1"/>
  <c r="BU31" i="5"/>
  <c r="BV31" i="5" s="1"/>
  <c r="BU30" i="5"/>
  <c r="BV30" i="5" s="1"/>
  <c r="BU29" i="5"/>
  <c r="BV29" i="5" s="1"/>
  <c r="BU28" i="5"/>
  <c r="BV28" i="5" s="1"/>
  <c r="BU27" i="5"/>
  <c r="BV27" i="5" s="1"/>
  <c r="BU26" i="5"/>
  <c r="BV26" i="5" s="1"/>
  <c r="BU25" i="5"/>
  <c r="BV25" i="5" s="1"/>
  <c r="BU24" i="5"/>
  <c r="BV24" i="5" s="1"/>
  <c r="BU23" i="5"/>
  <c r="BV23" i="5" s="1"/>
  <c r="BV22" i="5"/>
  <c r="BU22" i="5"/>
  <c r="BU21" i="5"/>
  <c r="BV21" i="5" s="1"/>
  <c r="BU20" i="5"/>
  <c r="BV20" i="5" s="1"/>
  <c r="BU19" i="5"/>
  <c r="BV19" i="5" s="1"/>
  <c r="BU18" i="5"/>
  <c r="BV18" i="5" s="1"/>
  <c r="BU17" i="5"/>
  <c r="BV17" i="5" s="1"/>
  <c r="BV16" i="5"/>
  <c r="BU16" i="5"/>
  <c r="BU15" i="5"/>
  <c r="BV15" i="5" s="1"/>
  <c r="BU14" i="5"/>
  <c r="BV14" i="5" s="1"/>
  <c r="BU13" i="5"/>
  <c r="BV13" i="5" s="1"/>
  <c r="BU12" i="5"/>
  <c r="BV12" i="5" s="1"/>
  <c r="BU11" i="5"/>
  <c r="BV11" i="5" s="1"/>
  <c r="BU10" i="5"/>
  <c r="BV10" i="5" s="1"/>
  <c r="BU9" i="5"/>
  <c r="BV9" i="5" s="1"/>
  <c r="BV8" i="5"/>
  <c r="BU8" i="5"/>
  <c r="BU7" i="5"/>
  <c r="BV7" i="5" s="1"/>
  <c r="BU6" i="5"/>
  <c r="BV6" i="5" s="1"/>
  <c r="BU5" i="5"/>
  <c r="BV5" i="5" s="1"/>
  <c r="AY6" i="5"/>
  <c r="AY7" i="5"/>
  <c r="AY8" i="5"/>
  <c r="AY9" i="5"/>
  <c r="AY10" i="5"/>
  <c r="AY11" i="5"/>
  <c r="AY12" i="5"/>
  <c r="AZ12" i="5" s="1"/>
  <c r="AY13" i="5"/>
  <c r="AZ13" i="5" s="1"/>
  <c r="AY14" i="5"/>
  <c r="AZ14" i="5" s="1"/>
  <c r="AY15" i="5"/>
  <c r="AZ15" i="5" s="1"/>
  <c r="AY16" i="5"/>
  <c r="AZ16" i="5" s="1"/>
  <c r="AY17" i="5"/>
  <c r="AZ17" i="5" s="1"/>
  <c r="AY18" i="5"/>
  <c r="AZ18" i="5" s="1"/>
  <c r="AY19" i="5"/>
  <c r="AY20" i="5"/>
  <c r="AY21" i="5"/>
  <c r="AY22" i="5"/>
  <c r="AY23" i="5"/>
  <c r="AY24" i="5"/>
  <c r="AY25" i="5"/>
  <c r="AZ25" i="5" s="1"/>
  <c r="AY26" i="5"/>
  <c r="AZ26" i="5" s="1"/>
  <c r="AY27" i="5"/>
  <c r="AZ27" i="5" s="1"/>
  <c r="AY28" i="5"/>
  <c r="AZ28" i="5" s="1"/>
  <c r="AY29" i="5"/>
  <c r="AZ29" i="5" s="1"/>
  <c r="AY30" i="5"/>
  <c r="AZ30" i="5" s="1"/>
  <c r="AY31" i="5"/>
  <c r="AZ31" i="5" s="1"/>
  <c r="AY32" i="5"/>
  <c r="AZ32" i="5" s="1"/>
  <c r="AY33" i="5"/>
  <c r="AZ33" i="5" s="1"/>
  <c r="AY34" i="5"/>
  <c r="AY35" i="5"/>
  <c r="AY36" i="5"/>
  <c r="AY37" i="5"/>
  <c r="AY38" i="5"/>
  <c r="AY39" i="5"/>
  <c r="AY40" i="5"/>
  <c r="AZ40" i="5" s="1"/>
  <c r="AY41" i="5"/>
  <c r="AZ41" i="5" s="1"/>
  <c r="AY42" i="5"/>
  <c r="AZ42" i="5" s="1"/>
  <c r="AY43" i="5"/>
  <c r="AZ43" i="5" s="1"/>
  <c r="AY44" i="5"/>
  <c r="AZ44" i="5" s="1"/>
  <c r="AY45" i="5"/>
  <c r="AZ45" i="5" s="1"/>
  <c r="AY46" i="5"/>
  <c r="AZ46" i="5" s="1"/>
  <c r="AY47" i="5"/>
  <c r="AY48" i="5"/>
  <c r="AY49" i="5"/>
  <c r="AY50" i="5"/>
  <c r="AY51" i="5"/>
  <c r="AY52" i="5"/>
  <c r="AY53" i="5"/>
  <c r="AZ53" i="5" s="1"/>
  <c r="AY54" i="5"/>
  <c r="AZ54" i="5" s="1"/>
  <c r="AY55" i="5"/>
  <c r="AZ55" i="5" s="1"/>
  <c r="AZ6" i="5"/>
  <c r="AZ7" i="5"/>
  <c r="AZ8" i="5"/>
  <c r="AZ9" i="5"/>
  <c r="AZ10" i="5"/>
  <c r="AZ11" i="5"/>
  <c r="AZ19" i="5"/>
  <c r="AZ20" i="5"/>
  <c r="AZ21" i="5"/>
  <c r="AZ22" i="5"/>
  <c r="AZ23" i="5"/>
  <c r="AZ24" i="5"/>
  <c r="AZ34" i="5"/>
  <c r="AZ35" i="5"/>
  <c r="AZ36" i="5"/>
  <c r="AZ37" i="5"/>
  <c r="AZ38" i="5"/>
  <c r="AZ39" i="5"/>
  <c r="AZ47" i="5"/>
  <c r="AZ48" i="5"/>
  <c r="AZ49" i="5"/>
  <c r="AZ50" i="5"/>
  <c r="AZ51" i="5"/>
  <c r="AZ52" i="5"/>
  <c r="AZ5" i="5"/>
  <c r="AY5" i="5"/>
  <c r="AY60" i="5"/>
  <c r="AZ60" i="5"/>
  <c r="AY61" i="5"/>
  <c r="AZ61" i="5"/>
  <c r="AY62" i="5"/>
  <c r="AZ62" i="5"/>
  <c r="AY63" i="5"/>
  <c r="AZ63" i="5"/>
  <c r="AY64" i="5"/>
  <c r="AZ64" i="5"/>
  <c r="AY65" i="5"/>
  <c r="AZ65" i="5"/>
  <c r="AY66" i="5"/>
  <c r="AZ66" i="5"/>
  <c r="AY67" i="5"/>
  <c r="AZ67" i="5"/>
  <c r="AY68" i="5"/>
  <c r="AZ68" i="5"/>
  <c r="AY69" i="5"/>
  <c r="AZ69" i="5"/>
  <c r="AY70" i="5"/>
  <c r="AZ70" i="5"/>
  <c r="AY71" i="5"/>
  <c r="AZ71" i="5"/>
  <c r="AY72" i="5"/>
  <c r="AZ72" i="5"/>
  <c r="AY73" i="5"/>
  <c r="AZ73" i="5"/>
  <c r="AY74" i="5"/>
  <c r="AZ74" i="5"/>
  <c r="AY75" i="5"/>
  <c r="AZ75" i="5"/>
  <c r="AY76" i="5"/>
  <c r="AZ76" i="5"/>
  <c r="AY77" i="5"/>
  <c r="AZ77" i="5"/>
  <c r="AY78" i="5"/>
  <c r="AZ78" i="5"/>
  <c r="AY79" i="5"/>
  <c r="AZ79" i="5"/>
  <c r="AY80" i="5"/>
  <c r="AZ80" i="5"/>
  <c r="AY81" i="5"/>
  <c r="AZ81" i="5"/>
  <c r="AY82" i="5"/>
  <c r="AZ82" i="5"/>
  <c r="AY83" i="5"/>
  <c r="AZ83" i="5"/>
  <c r="AY84" i="5"/>
  <c r="AZ84" i="5"/>
  <c r="AY85" i="5"/>
  <c r="AZ85" i="5"/>
  <c r="AY86" i="5"/>
  <c r="AZ86" i="5"/>
  <c r="AY87" i="5"/>
  <c r="AZ87" i="5"/>
  <c r="AY88" i="5"/>
  <c r="AZ88" i="5"/>
  <c r="AY89" i="5"/>
  <c r="AZ89" i="5"/>
  <c r="AY90" i="5"/>
  <c r="AZ90" i="5"/>
  <c r="AY91" i="5"/>
  <c r="AZ91" i="5"/>
  <c r="AY92" i="5"/>
  <c r="AZ92" i="5"/>
  <c r="AY93" i="5"/>
  <c r="AZ93" i="5"/>
  <c r="AY94" i="5"/>
  <c r="AZ94" i="5"/>
  <c r="AY95" i="5"/>
  <c r="AZ95" i="5"/>
  <c r="AY96" i="5"/>
  <c r="AZ96" i="5"/>
  <c r="AY97" i="5"/>
  <c r="AZ97" i="5"/>
  <c r="AY98" i="5"/>
  <c r="AZ98" i="5"/>
  <c r="AY99" i="5"/>
  <c r="AZ99" i="5"/>
  <c r="AY100" i="5"/>
  <c r="AZ100" i="5"/>
  <c r="AY101" i="5"/>
  <c r="AZ101" i="5"/>
  <c r="AY102" i="5"/>
  <c r="AZ102" i="5"/>
  <c r="AY103" i="5"/>
  <c r="AZ103" i="5"/>
  <c r="AY104" i="5"/>
  <c r="AZ104" i="5"/>
  <c r="AY105" i="5"/>
  <c r="AZ105" i="5"/>
  <c r="AY106" i="5"/>
  <c r="AZ106" i="5"/>
  <c r="AY107" i="5"/>
  <c r="AZ107" i="5"/>
  <c r="AY108" i="5"/>
  <c r="AZ108" i="5"/>
  <c r="AY109" i="5"/>
  <c r="AZ109" i="5"/>
  <c r="AZ59" i="5"/>
  <c r="AY59" i="5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2" i="5"/>
  <c r="Z727" i="5"/>
  <c r="Z726" i="5"/>
  <c r="Z725" i="5"/>
  <c r="Z724" i="5"/>
  <c r="Z723" i="5"/>
  <c r="Z722" i="5"/>
  <c r="Z721" i="5"/>
  <c r="Z720" i="5"/>
  <c r="Z719" i="5"/>
  <c r="Z718" i="5"/>
  <c r="Z717" i="5"/>
  <c r="Z716" i="5"/>
  <c r="Z715" i="5"/>
  <c r="Z714" i="5"/>
  <c r="Z713" i="5"/>
  <c r="Z712" i="5"/>
  <c r="Z711" i="5"/>
  <c r="Z710" i="5"/>
  <c r="Z709" i="5"/>
  <c r="Z708" i="5"/>
  <c r="Z707" i="5"/>
  <c r="Z706" i="5"/>
  <c r="Z705" i="5"/>
  <c r="Z704" i="5"/>
  <c r="Z703" i="5"/>
  <c r="Z702" i="5"/>
  <c r="Z701" i="5"/>
  <c r="Z700" i="5"/>
  <c r="Z699" i="5"/>
  <c r="Z698" i="5"/>
  <c r="Z697" i="5"/>
  <c r="Z696" i="5"/>
  <c r="Z695" i="5"/>
  <c r="Z694" i="5"/>
  <c r="Z693" i="5"/>
  <c r="Z692" i="5"/>
  <c r="Z691" i="5"/>
  <c r="Z690" i="5"/>
  <c r="Z689" i="5"/>
  <c r="Z688" i="5"/>
  <c r="Z687" i="5"/>
  <c r="Z686" i="5"/>
  <c r="Z685" i="5"/>
  <c r="Z684" i="5"/>
  <c r="Z683" i="5"/>
  <c r="Z682" i="5"/>
  <c r="Z681" i="5"/>
  <c r="Z680" i="5"/>
  <c r="Z679" i="5"/>
  <c r="Z678" i="5"/>
  <c r="Z677" i="5"/>
  <c r="Z676" i="5"/>
  <c r="Z675" i="5"/>
  <c r="Z674" i="5"/>
  <c r="Z673" i="5"/>
  <c r="Z672" i="5"/>
  <c r="Z671" i="5"/>
  <c r="Z670" i="5"/>
  <c r="Z669" i="5"/>
  <c r="Z668" i="5"/>
  <c r="Z667" i="5"/>
  <c r="Z666" i="5"/>
  <c r="Z665" i="5"/>
  <c r="Z664" i="5"/>
  <c r="Z663" i="5"/>
  <c r="Z662" i="5"/>
  <c r="Z661" i="5"/>
  <c r="Z660" i="5"/>
  <c r="Z659" i="5"/>
  <c r="Z658" i="5"/>
  <c r="Z657" i="5"/>
  <c r="Z656" i="5"/>
  <c r="Z655" i="5"/>
  <c r="Z654" i="5"/>
  <c r="Z653" i="5"/>
  <c r="Z652" i="5"/>
  <c r="Z651" i="5"/>
  <c r="Z650" i="5"/>
  <c r="Z649" i="5"/>
  <c r="Z648" i="5"/>
  <c r="Z647" i="5"/>
  <c r="Z646" i="5"/>
  <c r="Z645" i="5"/>
  <c r="Z644" i="5"/>
  <c r="Z643" i="5"/>
  <c r="Z642" i="5"/>
  <c r="Z641" i="5"/>
  <c r="Z640" i="5"/>
  <c r="Z639" i="5"/>
  <c r="Z638" i="5"/>
  <c r="Z637" i="5"/>
  <c r="Z636" i="5"/>
  <c r="Z635" i="5"/>
  <c r="Z634" i="5"/>
  <c r="Z633" i="5"/>
  <c r="Z632" i="5"/>
  <c r="Z631" i="5"/>
  <c r="Z630" i="5"/>
  <c r="Z629" i="5"/>
  <c r="Z628" i="5"/>
  <c r="Z627" i="5"/>
  <c r="Z626" i="5"/>
  <c r="Z625" i="5"/>
  <c r="Z624" i="5"/>
  <c r="Z623" i="5"/>
  <c r="Z622" i="5"/>
  <c r="Z621" i="5"/>
  <c r="Z620" i="5"/>
  <c r="Z619" i="5"/>
  <c r="Z618" i="5"/>
  <c r="Z617" i="5"/>
  <c r="Z616" i="5"/>
  <c r="Z615" i="5"/>
  <c r="Z614" i="5"/>
  <c r="Z613" i="5"/>
  <c r="Z612" i="5"/>
  <c r="Z611" i="5"/>
  <c r="Z610" i="5"/>
  <c r="Z609" i="5"/>
  <c r="Z608" i="5"/>
  <c r="Z607" i="5"/>
  <c r="Z606" i="5"/>
  <c r="Z605" i="5"/>
  <c r="Z604" i="5"/>
  <c r="Z603" i="5"/>
  <c r="Z602" i="5"/>
  <c r="Z601" i="5"/>
  <c r="Z600" i="5"/>
  <c r="Z599" i="5"/>
  <c r="Z598" i="5"/>
  <c r="Z597" i="5"/>
  <c r="Z596" i="5"/>
  <c r="Z595" i="5"/>
  <c r="Z594" i="5"/>
  <c r="Z593" i="5"/>
  <c r="Z592" i="5"/>
  <c r="Z591" i="5"/>
  <c r="Z590" i="5"/>
  <c r="Z589" i="5"/>
  <c r="Z588" i="5"/>
  <c r="Z587" i="5"/>
  <c r="Z586" i="5"/>
  <c r="Z585" i="5"/>
  <c r="Z584" i="5"/>
  <c r="Z583" i="5"/>
  <c r="Z582" i="5"/>
  <c r="Z581" i="5"/>
  <c r="Z580" i="5"/>
  <c r="Z579" i="5"/>
  <c r="Z578" i="5"/>
  <c r="Z577" i="5"/>
  <c r="Z576" i="5"/>
  <c r="Z575" i="5"/>
  <c r="Z574" i="5"/>
  <c r="Z573" i="5"/>
  <c r="Z572" i="5"/>
  <c r="Z571" i="5"/>
  <c r="Z570" i="5"/>
  <c r="Z569" i="5"/>
  <c r="Z568" i="5"/>
  <c r="Z567" i="5"/>
  <c r="Z566" i="5"/>
  <c r="Z565" i="5"/>
  <c r="Z564" i="5"/>
  <c r="Z563" i="5"/>
  <c r="Z562" i="5"/>
  <c r="Z561" i="5"/>
  <c r="Z560" i="5"/>
  <c r="Z559" i="5"/>
  <c r="Z558" i="5"/>
  <c r="Z557" i="5"/>
  <c r="Z556" i="5"/>
  <c r="Z555" i="5"/>
  <c r="Z554" i="5"/>
  <c r="Z553" i="5"/>
  <c r="Z552" i="5"/>
  <c r="Z551" i="5"/>
  <c r="Z550" i="5"/>
  <c r="Z549" i="5"/>
  <c r="Z548" i="5"/>
  <c r="Z547" i="5"/>
  <c r="Z546" i="5"/>
  <c r="Z545" i="5"/>
  <c r="Z544" i="5"/>
  <c r="Z543" i="5"/>
  <c r="Z542" i="5"/>
  <c r="Z541" i="5"/>
  <c r="Z540" i="5"/>
  <c r="Z539" i="5"/>
  <c r="Z538" i="5"/>
  <c r="Z537" i="5"/>
  <c r="Z536" i="5"/>
  <c r="Z535" i="5"/>
  <c r="Z534" i="5"/>
  <c r="Z533" i="5"/>
  <c r="Z532" i="5"/>
  <c r="Z531" i="5"/>
  <c r="Z530" i="5"/>
  <c r="Z529" i="5"/>
  <c r="Z528" i="5"/>
  <c r="Z527" i="5"/>
  <c r="Z526" i="5"/>
  <c r="Z525" i="5"/>
  <c r="Z524" i="5"/>
  <c r="Z523" i="5"/>
  <c r="Z522" i="5"/>
  <c r="Z521" i="5"/>
  <c r="Z520" i="5"/>
  <c r="Z519" i="5"/>
  <c r="Z518" i="5"/>
  <c r="Z517" i="5"/>
  <c r="Z516" i="5"/>
  <c r="Z515" i="5"/>
  <c r="Z514" i="5"/>
  <c r="Z513" i="5"/>
  <c r="Z512" i="5"/>
  <c r="Z511" i="5"/>
  <c r="Z510" i="5"/>
  <c r="Z509" i="5"/>
  <c r="Z508" i="5"/>
  <c r="Z507" i="5"/>
  <c r="Z506" i="5"/>
  <c r="Z505" i="5"/>
  <c r="Z504" i="5"/>
  <c r="Z503" i="5"/>
  <c r="Z502" i="5"/>
  <c r="Z501" i="5"/>
  <c r="Z500" i="5"/>
  <c r="Z499" i="5"/>
  <c r="Z498" i="5"/>
  <c r="Z497" i="5"/>
  <c r="Z496" i="5"/>
  <c r="Z495" i="5"/>
  <c r="Z494" i="5"/>
  <c r="Z493" i="5"/>
  <c r="Z492" i="5"/>
  <c r="Z491" i="5"/>
  <c r="Z490" i="5"/>
  <c r="Z489" i="5"/>
  <c r="Z488" i="5"/>
  <c r="Z487" i="5"/>
  <c r="Z486" i="5"/>
  <c r="Z485" i="5"/>
  <c r="Z484" i="5"/>
  <c r="Z483" i="5"/>
  <c r="Z482" i="5"/>
  <c r="Z481" i="5"/>
  <c r="Z480" i="5"/>
  <c r="Z479" i="5"/>
  <c r="Z478" i="5"/>
  <c r="Z477" i="5"/>
  <c r="Z476" i="5"/>
  <c r="Z475" i="5"/>
  <c r="Z474" i="5"/>
  <c r="Z473" i="5"/>
  <c r="Z472" i="5"/>
  <c r="Z471" i="5"/>
  <c r="Z470" i="5"/>
  <c r="Z469" i="5"/>
  <c r="Z468" i="5"/>
  <c r="Z467" i="5"/>
  <c r="Z466" i="5"/>
  <c r="Z465" i="5"/>
  <c r="Z464" i="5"/>
  <c r="Z463" i="5"/>
  <c r="Z462" i="5"/>
  <c r="Z461" i="5"/>
  <c r="Z460" i="5"/>
  <c r="Z459" i="5"/>
  <c r="Z458" i="5"/>
  <c r="Z457" i="5"/>
  <c r="Z456" i="5"/>
  <c r="Z455" i="5"/>
  <c r="Z454" i="5"/>
  <c r="Z453" i="5"/>
  <c r="Z452" i="5"/>
  <c r="Z451" i="5"/>
  <c r="Z450" i="5"/>
  <c r="Z449" i="5"/>
  <c r="Z448" i="5"/>
  <c r="Z447" i="5"/>
  <c r="Z446" i="5"/>
  <c r="Z445" i="5"/>
  <c r="Z444" i="5"/>
  <c r="Z443" i="5"/>
  <c r="Z442" i="5"/>
  <c r="Z441" i="5"/>
  <c r="Z440" i="5"/>
  <c r="Z439" i="5"/>
  <c r="Z438" i="5"/>
  <c r="Z437" i="5"/>
  <c r="Z436" i="5"/>
  <c r="Z435" i="5"/>
  <c r="Z434" i="5"/>
  <c r="Z433" i="5"/>
  <c r="Z432" i="5"/>
  <c r="Z431" i="5"/>
  <c r="Z430" i="5"/>
  <c r="Z429" i="5"/>
  <c r="Z428" i="5"/>
  <c r="Z427" i="5"/>
  <c r="Z426" i="5"/>
  <c r="Z425" i="5"/>
  <c r="Z424" i="5"/>
  <c r="Z423" i="5"/>
  <c r="Z422" i="5"/>
  <c r="Z421" i="5"/>
  <c r="Z420" i="5"/>
  <c r="Z419" i="5"/>
  <c r="Z418" i="5"/>
  <c r="Z417" i="5"/>
  <c r="Z416" i="5"/>
  <c r="Z415" i="5"/>
  <c r="Z414" i="5"/>
  <c r="Z413" i="5"/>
  <c r="Z412" i="5"/>
  <c r="Z411" i="5"/>
  <c r="Z410" i="5"/>
  <c r="Z409" i="5"/>
  <c r="Z408" i="5"/>
  <c r="Z407" i="5"/>
  <c r="Z406" i="5"/>
  <c r="Z405" i="5"/>
  <c r="Z404" i="5"/>
  <c r="Z403" i="5"/>
  <c r="Z402" i="5"/>
  <c r="Z401" i="5"/>
  <c r="Z400" i="5"/>
  <c r="Z399" i="5"/>
  <c r="Z398" i="5"/>
  <c r="Z397" i="5"/>
  <c r="Z396" i="5"/>
  <c r="Z395" i="5"/>
  <c r="Z394" i="5"/>
  <c r="Z393" i="5"/>
  <c r="Z392" i="5"/>
  <c r="Z391" i="5"/>
  <c r="Z390" i="5"/>
  <c r="Z389" i="5"/>
  <c r="Z388" i="5"/>
  <c r="Z387" i="5"/>
  <c r="Z386" i="5"/>
  <c r="Z385" i="5"/>
  <c r="Z384" i="5"/>
  <c r="Z383" i="5"/>
  <c r="Z382" i="5"/>
  <c r="Z381" i="5"/>
  <c r="Z380" i="5"/>
  <c r="Z379" i="5"/>
  <c r="Z378" i="5"/>
  <c r="Z377" i="5"/>
  <c r="Z376" i="5"/>
  <c r="Z375" i="5"/>
  <c r="Z374" i="5"/>
  <c r="Z373" i="5"/>
  <c r="Z372" i="5"/>
  <c r="Z371" i="5"/>
  <c r="Z370" i="5"/>
  <c r="Z369" i="5"/>
  <c r="Z368" i="5"/>
  <c r="Z367" i="5"/>
  <c r="Z366" i="5"/>
  <c r="Z365" i="5"/>
  <c r="Z364" i="5"/>
  <c r="Z363" i="5"/>
  <c r="Z362" i="5"/>
  <c r="Z361" i="5"/>
  <c r="Z360" i="5"/>
  <c r="Z359" i="5"/>
  <c r="Z358" i="5"/>
  <c r="Z357" i="5"/>
  <c r="Z356" i="5"/>
  <c r="Z355" i="5"/>
  <c r="Z354" i="5"/>
  <c r="Z353" i="5"/>
  <c r="Z352" i="5"/>
  <c r="Z351" i="5"/>
  <c r="Z350" i="5"/>
  <c r="Z349" i="5"/>
  <c r="Z348" i="5"/>
  <c r="Z347" i="5"/>
  <c r="Z346" i="5"/>
  <c r="Z345" i="5"/>
  <c r="Z344" i="5"/>
  <c r="Z343" i="5"/>
  <c r="Z342" i="5"/>
  <c r="Z341" i="5"/>
  <c r="Z340" i="5"/>
  <c r="Z339" i="5"/>
  <c r="Z338" i="5"/>
  <c r="Z337" i="5"/>
  <c r="Z336" i="5"/>
  <c r="Z335" i="5"/>
  <c r="Z334" i="5"/>
  <c r="Z333" i="5"/>
  <c r="Z332" i="5"/>
  <c r="Z331" i="5"/>
  <c r="Z330" i="5"/>
  <c r="Z329" i="5"/>
  <c r="Z328" i="5"/>
  <c r="Z327" i="5"/>
  <c r="Z326" i="5"/>
  <c r="Z325" i="5"/>
  <c r="Z324" i="5"/>
  <c r="Z323" i="5"/>
  <c r="Z322" i="5"/>
  <c r="Z321" i="5"/>
  <c r="Z320" i="5"/>
  <c r="Z319" i="5"/>
  <c r="Z318" i="5"/>
  <c r="Z317" i="5"/>
  <c r="Z316" i="5"/>
  <c r="Z315" i="5"/>
  <c r="Z314" i="5"/>
  <c r="Z313" i="5"/>
  <c r="Z312" i="5"/>
  <c r="Z311" i="5"/>
  <c r="Z310" i="5"/>
  <c r="Z309" i="5"/>
  <c r="Z308" i="5"/>
  <c r="Z307" i="5"/>
  <c r="Z306" i="5"/>
  <c r="Z305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178" i="5"/>
  <c r="Z177" i="5"/>
  <c r="Z176" i="5"/>
  <c r="Z175" i="5"/>
  <c r="Z174" i="5"/>
  <c r="Z173" i="5"/>
  <c r="Z172" i="5"/>
  <c r="Z171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2" i="5"/>
  <c r="O51" i="3" l="1"/>
  <c r="N51" i="3"/>
  <c r="N50" i="3"/>
  <c r="O50" i="3" s="1"/>
  <c r="N49" i="3"/>
  <c r="O49" i="3" s="1"/>
  <c r="N48" i="3"/>
  <c r="O48" i="3" s="1"/>
  <c r="N47" i="3"/>
  <c r="O47" i="3" s="1"/>
  <c r="N46" i="3"/>
  <c r="O46" i="3" s="1"/>
  <c r="N45" i="3"/>
  <c r="O45" i="3" s="1"/>
  <c r="N44" i="3"/>
  <c r="O44" i="3" s="1"/>
  <c r="N43" i="3"/>
  <c r="O43" i="3" s="1"/>
  <c r="N42" i="3"/>
  <c r="O42" i="3" s="1"/>
  <c r="N41" i="3"/>
  <c r="O41" i="3" s="1"/>
  <c r="N40" i="3"/>
  <c r="O40" i="3" s="1"/>
  <c r="N39" i="3"/>
  <c r="O39" i="3" s="1"/>
  <c r="N38" i="3"/>
  <c r="O38" i="3" s="1"/>
  <c r="O37" i="3"/>
  <c r="N37" i="3"/>
  <c r="N36" i="3"/>
  <c r="O36" i="3" s="1"/>
  <c r="N35" i="3"/>
  <c r="O35" i="3" s="1"/>
  <c r="N34" i="3"/>
  <c r="O34" i="3" s="1"/>
  <c r="O33" i="3"/>
  <c r="N33" i="3"/>
  <c r="N32" i="3"/>
  <c r="O32" i="3" s="1"/>
  <c r="N31" i="3"/>
  <c r="O31" i="3" s="1"/>
  <c r="N30" i="3"/>
  <c r="O30" i="3" s="1"/>
  <c r="N29" i="3"/>
  <c r="O29" i="3" s="1"/>
  <c r="N28" i="3"/>
  <c r="O28" i="3" s="1"/>
  <c r="N27" i="3"/>
  <c r="O27" i="3" s="1"/>
  <c r="N26" i="3"/>
  <c r="O26" i="3" s="1"/>
  <c r="O25" i="3"/>
  <c r="N25" i="3"/>
  <c r="N24" i="3"/>
  <c r="O24" i="3" s="1"/>
  <c r="O23" i="3"/>
  <c r="N23" i="3"/>
  <c r="N22" i="3"/>
  <c r="O22" i="3" s="1"/>
  <c r="N21" i="3"/>
  <c r="O21" i="3" s="1"/>
  <c r="N20" i="3"/>
  <c r="O20" i="3" s="1"/>
  <c r="N19" i="3"/>
  <c r="O19" i="3" s="1"/>
  <c r="N18" i="3"/>
  <c r="O18" i="3" s="1"/>
  <c r="N17" i="3"/>
  <c r="O17" i="3" s="1"/>
  <c r="N16" i="3"/>
  <c r="O16" i="3" s="1"/>
  <c r="N15" i="3"/>
  <c r="O15" i="3" s="1"/>
  <c r="N14" i="3"/>
  <c r="O14" i="3" s="1"/>
  <c r="N13" i="3"/>
  <c r="O13" i="3" s="1"/>
  <c r="N12" i="3"/>
  <c r="O12" i="3" s="1"/>
  <c r="N11" i="3"/>
  <c r="O11" i="3" s="1"/>
  <c r="N10" i="3"/>
  <c r="O10" i="3" s="1"/>
  <c r="O9" i="3"/>
  <c r="N9" i="3"/>
  <c r="N8" i="3"/>
  <c r="O8" i="3" s="1"/>
  <c r="N7" i="3"/>
  <c r="O7" i="3" s="1"/>
  <c r="N6" i="3"/>
  <c r="O6" i="3" s="1"/>
  <c r="N5" i="3"/>
  <c r="O5" i="3" s="1"/>
  <c r="N4" i="3"/>
  <c r="O4" i="3" s="1"/>
  <c r="N3" i="3"/>
  <c r="O3" i="3" s="1"/>
  <c r="N2" i="3"/>
  <c r="O2" i="3" s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2" i="1"/>
</calcChain>
</file>

<file path=xl/sharedStrings.xml><?xml version="1.0" encoding="utf-8"?>
<sst xmlns="http://schemas.openxmlformats.org/spreadsheetml/2006/main" count="967" uniqueCount="70">
  <si>
    <t>OBJECTID *</t>
  </si>
  <si>
    <t>Shape *</t>
  </si>
  <si>
    <t>FID_Lake_Omapere_236_34_mAMSL___0_66m_</t>
  </si>
  <si>
    <t>fid_1</t>
  </si>
  <si>
    <t>DN</t>
  </si>
  <si>
    <t>FID_Subs</t>
  </si>
  <si>
    <t>HydroID</t>
  </si>
  <si>
    <t>nzsegment</t>
  </si>
  <si>
    <t>nzreach_re</t>
  </si>
  <si>
    <t>Area</t>
  </si>
  <si>
    <t>hydro_reg</t>
  </si>
  <si>
    <t>Shape_Leng</t>
  </si>
  <si>
    <t>diss</t>
  </si>
  <si>
    <t>Field</t>
  </si>
  <si>
    <t>Field1</t>
  </si>
  <si>
    <t>Shape_Length</t>
  </si>
  <si>
    <t>Shape_Area</t>
  </si>
  <si>
    <t>Polygon</t>
  </si>
  <si>
    <t>LakeO</t>
  </si>
  <si>
    <t>Row Labels</t>
  </si>
  <si>
    <t>lake</t>
  </si>
  <si>
    <t>land</t>
  </si>
  <si>
    <t>Grand Total</t>
  </si>
  <si>
    <t>Column Labels</t>
  </si>
  <si>
    <t>Sum of Shape_Area</t>
  </si>
  <si>
    <t>Hydseq</t>
  </si>
  <si>
    <t>Shape_Length_Lake</t>
  </si>
  <si>
    <t>NZSEGMENT</t>
  </si>
  <si>
    <t>HYDSEQ</t>
  </si>
  <si>
    <t>LENGTH</t>
  </si>
  <si>
    <t>LENLAKE_Original</t>
  </si>
  <si>
    <t>LakeLen_+0.66m</t>
  </si>
  <si>
    <t>Len_not_lake</t>
  </si>
  <si>
    <t>DAIRY</t>
  </si>
  <si>
    <t>SBINTEN</t>
  </si>
  <si>
    <t>SBHILL</t>
  </si>
  <si>
    <t>SBHIGH</t>
  </si>
  <si>
    <t>DEER</t>
  </si>
  <si>
    <t>ONIONS</t>
  </si>
  <si>
    <t>KIWIFRUIT</t>
  </si>
  <si>
    <t>APPLES</t>
  </si>
  <si>
    <t>GRAPES</t>
  </si>
  <si>
    <t>PLANT_FOR</t>
  </si>
  <si>
    <t>NAT_FOR</t>
  </si>
  <si>
    <t>SCRUB</t>
  </si>
  <si>
    <t>URBAN</t>
  </si>
  <si>
    <t>WATER</t>
  </si>
  <si>
    <t>OTHER</t>
  </si>
  <si>
    <t>TUSSOCK</t>
  </si>
  <si>
    <t>OTHER_ANIM</t>
  </si>
  <si>
    <t>UNGR_PAST</t>
  </si>
  <si>
    <t>UNKNOWN</t>
  </si>
  <si>
    <t>MAIZE</t>
  </si>
  <si>
    <t>AreaKM2</t>
  </si>
  <si>
    <t>LakeFID</t>
  </si>
  <si>
    <t>Lake0.66m</t>
  </si>
  <si>
    <t>HydSeq</t>
  </si>
  <si>
    <t>SubArea</t>
  </si>
  <si>
    <t>CLUES_class2018</t>
  </si>
  <si>
    <t>CLUES_LakeUpdate</t>
  </si>
  <si>
    <t>Sum of AreaKM2</t>
  </si>
  <si>
    <t xml:space="preserve">Original CLUES </t>
  </si>
  <si>
    <t>Updated for raised lake</t>
  </si>
  <si>
    <t>%Water/Lake</t>
  </si>
  <si>
    <t>%Land</t>
  </si>
  <si>
    <t>AreaWater/Lake(ha)</t>
  </si>
  <si>
    <t>AREALand (HA)</t>
  </si>
  <si>
    <t>Increase in lake area</t>
  </si>
  <si>
    <t>Increase in lake percentage</t>
  </si>
  <si>
    <t xml:space="preserve">Pasture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</si>
</sst>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4" fontId="3" fillId="0" borderId="0" xfId="0" applyNumberFormat="1" applyFont="1" applyProtection="1">
      <protection locked="0"/>
    </xf>
    <xf numFmtId="164" fontId="5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2" fontId="0" fillId="0" borderId="0" xfId="0" applyNumberFormat="1"/>
    <xf numFmtId="166" fontId="0" fillId="0" borderId="0" xfId="0" applyNumberFormat="1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6">
    <dxf>
      <numFmt numFmtId="14" formatCode="0.00%"/>
    </dxf>
    <dxf>
      <numFmt numFmtId="166" formatCode="0.0000"/>
    </dxf>
    <dxf>
      <numFmt numFmtId="166" formatCode="0.0000"/>
    </dxf>
    <dxf>
      <numFmt numFmtId="165" formatCode="0.000"/>
    </dxf>
    <dxf>
      <numFmt numFmtId="166" formatCode="0.0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tte Semadeni-Davies" refreshedDate="45946.559967824076" createdVersion="8" refreshedVersion="8" minRefreshableVersion="3" recordCount="78" xr:uid="{E05AFA9E-5E2C-452A-BA4D-A77E34B2B443}">
  <cacheSource type="worksheet">
    <worksheetSource ref="E1:R79" sheet="LakeArea+0.66"/>
  </cacheSource>
  <cacheFields count="14">
    <cacheField name="LakeO" numFmtId="0">
      <sharedItems count="2">
        <s v="land"/>
        <s v="lake"/>
      </sharedItems>
    </cacheField>
    <cacheField name="DN" numFmtId="0">
      <sharedItems containsSemiMixedTypes="0" containsString="0" containsNumber="1" containsInteger="1" minValue="0" maxValue="0"/>
    </cacheField>
    <cacheField name="FID_Subs" numFmtId="0">
      <sharedItems containsSemiMixedTypes="0" containsString="0" containsNumber="1" containsInteger="1" minValue="0" maxValue="49"/>
    </cacheField>
    <cacheField name="HydroID" numFmtId="0">
      <sharedItems containsSemiMixedTypes="0" containsString="0" containsNumber="1" containsInteger="1" minValue="9621" maxValue="10882"/>
    </cacheField>
    <cacheField name="nzsegment" numFmtId="0">
      <sharedItems containsSemiMixedTypes="0" containsString="0" containsNumber="1" containsInteger="1" minValue="1009647" maxValue="1010848" count="50">
        <n v="1009647"/>
        <n v="1009665"/>
        <n v="1009698"/>
        <n v="1009699"/>
        <n v="1009710"/>
        <n v="1009728"/>
        <n v="1009752"/>
        <n v="1009804"/>
        <n v="1009808"/>
        <n v="1009832"/>
        <n v="1009840"/>
        <n v="1009885"/>
        <n v="1010106"/>
        <n v="1010121"/>
        <n v="1010139"/>
        <n v="1010140"/>
        <n v="1010219"/>
        <n v="1010288"/>
        <n v="1010300"/>
        <n v="1010301"/>
        <n v="1010306"/>
        <n v="1010344"/>
        <n v="1010359"/>
        <n v="1010366"/>
        <n v="1010367"/>
        <n v="1010371"/>
        <n v="1010387"/>
        <n v="1010388"/>
        <n v="1010398"/>
        <n v="1010404"/>
        <n v="1010422"/>
        <n v="1010423"/>
        <n v="1010424"/>
        <n v="1010461"/>
        <n v="1010462"/>
        <n v="1010474"/>
        <n v="1010490"/>
        <n v="1010548"/>
        <n v="1010556"/>
        <n v="1010660"/>
        <n v="1010665"/>
        <n v="1010847"/>
        <n v="1010848"/>
        <n v="1010120"/>
        <n v="1010218"/>
        <n v="1010287"/>
        <n v="1010299"/>
        <n v="1010326"/>
        <n v="1010350"/>
        <n v="1010360"/>
      </sharedItems>
    </cacheField>
    <cacheField name="nzreach_re" numFmtId="0">
      <sharedItems containsSemiMixedTypes="0" containsString="0" containsNumber="1" containsInteger="1" minValue="1008693" maxValue="1009791"/>
    </cacheField>
    <cacheField name="Area" numFmtId="0">
      <sharedItems containsSemiMixedTypes="0" containsString="0" containsNumber="1" minValue="6294.1556890000002" maxValue="2613890.82766"/>
    </cacheField>
    <cacheField name="hydro_reg" numFmtId="0">
      <sharedItems containsSemiMixedTypes="0" containsString="0" containsNumber="1" containsInteger="1" minValue="1" maxValue="1"/>
    </cacheField>
    <cacheField name="Shape_Leng" numFmtId="0">
      <sharedItems containsSemiMixedTypes="0" containsString="0" containsNumber="1" minValue="359.83313800000002" maxValue="12414.347123"/>
    </cacheField>
    <cacheField name="diss" numFmtId="0">
      <sharedItems containsSemiMixedTypes="0" containsString="0" containsNumber="1" containsInteger="1" minValue="0" maxValue="0"/>
    </cacheField>
    <cacheField name="Field" numFmtId="0">
      <sharedItems containsSemiMixedTypes="0" containsString="0" containsNumber="1" containsInteger="1" minValue="0" maxValue="0"/>
    </cacheField>
    <cacheField name="Field1" numFmtId="0">
      <sharedItems containsSemiMixedTypes="0" containsString="0" containsNumber="1" containsInteger="1" minValue="0" maxValue="0"/>
    </cacheField>
    <cacheField name="Shape_Length" numFmtId="0">
      <sharedItems containsSemiMixedTypes="0" containsString="0" containsNumber="1" minValue="359.83313800000002" maxValue="10035.460464"/>
    </cacheField>
    <cacheField name="Shape_Area" numFmtId="0">
      <sharedItems containsSemiMixedTypes="0" containsString="0" containsNumber="1" minValue="4963.9941269999999" maxValue="2125419.682748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tte Semadeni-Davies" refreshedDate="45947.434867245371" createdVersion="8" refreshedVersion="8" minRefreshableVersion="3" recordCount="726" xr:uid="{3CD6FE19-E969-49B0-B746-336477465AAD}">
  <cacheSource type="worksheet">
    <worksheetSource ref="A1:AE727" sheet="AreasRedonefromGIS"/>
  </cacheSource>
  <cacheFields count="31">
    <cacheField name="nzsegment" numFmtId="0">
      <sharedItems containsSemiMixedTypes="0" containsString="0" containsNumber="1" containsInteger="1" minValue="1009647" maxValue="1010848" count="50">
        <n v="1010462"/>
        <n v="1010344"/>
        <n v="1010367"/>
        <n v="1010398"/>
        <n v="1010404"/>
        <n v="1010461"/>
        <n v="1010106"/>
        <n v="1010139"/>
        <n v="1010424"/>
        <n v="1010490"/>
        <n v="1009665"/>
        <n v="1009698"/>
        <n v="1009710"/>
        <n v="1009728"/>
        <n v="1009752"/>
        <n v="1009804"/>
        <n v="1009808"/>
        <n v="1009832"/>
        <n v="1009840"/>
        <n v="1009885"/>
        <n v="1010120"/>
        <n v="1010121"/>
        <n v="1010218"/>
        <n v="1010219"/>
        <n v="1010287"/>
        <n v="1010288"/>
        <n v="1010299"/>
        <n v="1010300"/>
        <n v="1010301"/>
        <n v="1010306"/>
        <n v="1010326"/>
        <n v="1010350"/>
        <n v="1010359"/>
        <n v="1010360"/>
        <n v="1010366"/>
        <n v="1010371"/>
        <n v="1010423"/>
        <n v="1010474"/>
        <n v="1010665"/>
        <n v="1010847"/>
        <n v="1010848"/>
        <n v="1009647"/>
        <n v="1009699"/>
        <n v="1010422"/>
        <n v="1010660"/>
        <n v="1010388"/>
        <n v="1010556"/>
        <n v="1010548"/>
        <n v="1010140"/>
        <n v="1010387"/>
      </sharedItems>
    </cacheField>
    <cacheField name="HydSeq" numFmtId="0">
      <sharedItems containsSemiMixedTypes="0" containsString="0" containsNumber="1" containsInteger="1" minValue="9454" maxValue="10701" count="50">
        <n v="10414"/>
        <n v="10142"/>
        <n v="10416"/>
        <n v="10415"/>
        <n v="10182"/>
        <n v="10402"/>
        <n v="9923"/>
        <n v="9961"/>
        <n v="10697"/>
        <n v="10696"/>
        <n v="9527"/>
        <n v="9480"/>
        <n v="9610"/>
        <n v="9526"/>
        <n v="9528"/>
        <n v="9676"/>
        <n v="9675"/>
        <n v="9677"/>
        <n v="10134"/>
        <n v="9905"/>
        <n v="9963"/>
        <n v="9962"/>
        <n v="10418"/>
        <n v="10417"/>
        <n v="10419"/>
        <n v="10178"/>
        <n v="10420"/>
        <n v="10371"/>
        <n v="10173"/>
        <n v="10370"/>
        <n v="10421"/>
        <n v="10422"/>
        <n v="10700"/>
        <n v="10699"/>
        <n v="10263"/>
        <n v="10698"/>
        <n v="10241"/>
        <n v="10429"/>
        <n v="10695"/>
        <n v="10694"/>
        <n v="10614"/>
        <n v="9454"/>
        <n v="9479"/>
        <n v="10701"/>
        <n v="10449"/>
        <n v="10275"/>
        <n v="10368"/>
        <n v="10318"/>
        <n v="9960"/>
        <n v="10369"/>
      </sharedItems>
    </cacheField>
    <cacheField name="CLUES_class2018" numFmtId="0">
      <sharedItems count="15">
        <s v="NAT_FOR"/>
        <s v="PLANT_FOR"/>
        <s v="SCRUB"/>
        <s v="WATER"/>
        <s v="URBAN"/>
        <s v="OTHER"/>
        <s v="DAIRY"/>
        <s v="OTHER_ANIM"/>
        <s v="UNGR_PAST"/>
        <s v="UNKNOWN"/>
        <s v="SBHILL"/>
        <s v="SBINTEN"/>
        <s v="ONIONS"/>
        <s v="MAIZE"/>
        <s v="APPLES"/>
      </sharedItems>
    </cacheField>
    <cacheField name="CLUES_LakeUpdate" numFmtId="0">
      <sharedItems count="15">
        <s v="NAT_FOR"/>
        <s v="PLANT_FOR"/>
        <s v="SCRUB"/>
        <s v="WATER"/>
        <s v="URBAN"/>
        <s v="OTHER"/>
        <s v="DAIRY"/>
        <s v="OTHER_ANIM"/>
        <s v="UNGR_PAST"/>
        <s v="UNKNOWN"/>
        <s v="SBHILL"/>
        <s v="SBINTEN"/>
        <s v="ONIONS"/>
        <s v="MAIZE"/>
        <s v="APPLES"/>
      </sharedItems>
    </cacheField>
    <cacheField name="NAT_FOR" numFmtId="0">
      <sharedItems containsSemiMixedTypes="0" containsString="0" containsNumber="1" containsInteger="1" minValue="0" maxValue="100"/>
    </cacheField>
    <cacheField name="OTHER" numFmtId="0">
      <sharedItems containsSemiMixedTypes="0" containsString="0" containsNumber="1" containsInteger="1" minValue="0" maxValue="100"/>
    </cacheField>
    <cacheField name="PLANT_FOR" numFmtId="0">
      <sharedItems containsSemiMixedTypes="0" containsString="0" containsNumber="1" containsInteger="1" minValue="0" maxValue="100"/>
    </cacheField>
    <cacheField name="SCRUB" numFmtId="0">
      <sharedItems containsSemiMixedTypes="0" containsString="0" containsNumber="1" containsInteger="1" minValue="0" maxValue="100"/>
    </cacheField>
    <cacheField name="TUSSOCK" numFmtId="0">
      <sharedItems containsSemiMixedTypes="0" containsString="0" containsNumber="1" containsInteger="1" minValue="0" maxValue="0"/>
    </cacheField>
    <cacheField name="URBAN" numFmtId="0">
      <sharedItems containsSemiMixedTypes="0" containsString="0" containsNumber="1" containsInteger="1" minValue="0" maxValue="100"/>
    </cacheField>
    <cacheField name="WATER" numFmtId="0">
      <sharedItems containsSemiMixedTypes="0" containsString="0" containsNumber="1" containsInteger="1" minValue="0" maxValue="100"/>
    </cacheField>
    <cacheField name="DAIRY" numFmtId="0">
      <sharedItems containsSemiMixedTypes="0" containsString="0" containsNumber="1" containsInteger="1" minValue="0" maxValue="100"/>
    </cacheField>
    <cacheField name="DEER" numFmtId="0">
      <sharedItems containsSemiMixedTypes="0" containsString="0" containsNumber="1" containsInteger="1" minValue="0" maxValue="0"/>
    </cacheField>
    <cacheField name="OTHER_ANIM" numFmtId="0">
      <sharedItems containsSemiMixedTypes="0" containsString="0" containsNumber="1" containsInteger="1" minValue="0" maxValue="100"/>
    </cacheField>
    <cacheField name="UNGR_PAST" numFmtId="0">
      <sharedItems containsSemiMixedTypes="0" containsString="0" containsNumber="1" containsInteger="1" minValue="0" maxValue="100"/>
    </cacheField>
    <cacheField name="UNKNOWN" numFmtId="0">
      <sharedItems containsSemiMixedTypes="0" containsString="0" containsNumber="1" containsInteger="1" minValue="0" maxValue="100"/>
    </cacheField>
    <cacheField name="SBHIGH" numFmtId="0">
      <sharedItems containsSemiMixedTypes="0" containsString="0" containsNumber="1" containsInteger="1" minValue="0" maxValue="0"/>
    </cacheField>
    <cacheField name="SBHILL" numFmtId="0">
      <sharedItems containsSemiMixedTypes="0" containsString="0" containsNumber="1" containsInteger="1" minValue="0" maxValue="100"/>
    </cacheField>
    <cacheField name="SBINTEN" numFmtId="0">
      <sharedItems containsSemiMixedTypes="0" containsString="0" containsNumber="1" containsInteger="1" minValue="0" maxValue="100"/>
    </cacheField>
    <cacheField name="MAIZE" numFmtId="0">
      <sharedItems containsSemiMixedTypes="0" containsString="0" containsNumber="1" containsInteger="1" minValue="0" maxValue="100"/>
    </cacheField>
    <cacheField name="ONIONS" numFmtId="0">
      <sharedItems containsSemiMixedTypes="0" containsString="0" containsNumber="1" containsInteger="1" minValue="0" maxValue="100"/>
    </cacheField>
    <cacheField name="APPLES" numFmtId="0">
      <sharedItems containsSemiMixedTypes="0" containsString="0" containsNumber="1" containsInteger="1" minValue="0" maxValue="100"/>
    </cacheField>
    <cacheField name="GRAPES" numFmtId="0">
      <sharedItems containsSemiMixedTypes="0" containsString="0" containsNumber="1" containsInteger="1" minValue="0" maxValue="0"/>
    </cacheField>
    <cacheField name="KIWIFRUIT" numFmtId="0">
      <sharedItems containsSemiMixedTypes="0" containsString="0" containsNumber="1" containsInteger="1" minValue="0" maxValue="0"/>
    </cacheField>
    <cacheField name="LakeFID" numFmtId="0">
      <sharedItems containsSemiMixedTypes="0" containsString="0" containsNumber="1" containsInteger="1" minValue="0" maxValue="25"/>
    </cacheField>
    <cacheField name="Lake0.66m" numFmtId="0">
      <sharedItems/>
    </cacheField>
    <cacheField name="FID_Subs" numFmtId="0">
      <sharedItems containsSemiMixedTypes="0" containsString="0" containsNumber="1" containsInteger="1" minValue="0" maxValue="49"/>
    </cacheField>
    <cacheField name="SubArea" numFmtId="0">
      <sharedItems containsSemiMixedTypes="0" containsString="0" containsNumber="1" minValue="6294.1556890000002" maxValue="2613890.82766"/>
    </cacheField>
    <cacheField name="Shape_Length" numFmtId="0">
      <sharedItems containsSemiMixedTypes="0" containsString="0" containsNumber="1" minValue="1.7087049999999999" maxValue="9731.9925239999993"/>
    </cacheField>
    <cacheField name="Shape_Area" numFmtId="0">
      <sharedItems containsSemiMixedTypes="0" containsString="0" containsNumber="1" minValue="8.0590999999999996E-2" maxValue="2120062.5409840001"/>
    </cacheField>
    <cacheField name="AreaKM2" numFmtId="0">
      <sharedItems containsSemiMixedTypes="0" containsString="0" containsNumber="1" minValue="0" maxValue="2.1200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n v="0"/>
    <n v="0"/>
    <n v="9621"/>
    <x v="0"/>
    <n v="1008727"/>
    <n v="417217.74838200002"/>
    <n v="1"/>
    <n v="3898.214297"/>
    <n v="0"/>
    <n v="0"/>
    <n v="0"/>
    <n v="4293.8708120000001"/>
    <n v="360889.25966099999"/>
  </r>
  <r>
    <x v="0"/>
    <n v="0"/>
    <n v="1"/>
    <n v="9691"/>
    <x v="1"/>
    <n v="1008711"/>
    <n v="460381.55421099998"/>
    <n v="1"/>
    <n v="4018.1736959999998"/>
    <n v="0"/>
    <n v="0"/>
    <n v="0"/>
    <n v="3768.6858480000001"/>
    <n v="385631.116668"/>
  </r>
  <r>
    <x v="0"/>
    <n v="0"/>
    <n v="2"/>
    <n v="10243"/>
    <x v="2"/>
    <n v="1008727"/>
    <n v="2613890.82766"/>
    <n v="1"/>
    <n v="10195.300221"/>
    <n v="0"/>
    <n v="0"/>
    <n v="0"/>
    <n v="6920.7689570000002"/>
    <n v="562567.78605600004"/>
  </r>
  <r>
    <x v="0"/>
    <n v="0"/>
    <n v="3"/>
    <n v="9642"/>
    <x v="3"/>
    <n v="1008727"/>
    <n v="254467.18734500001"/>
    <n v="1"/>
    <n v="2758.738143"/>
    <n v="0"/>
    <n v="0"/>
    <n v="0"/>
    <n v="2879.1306679999998"/>
    <n v="234417.609368"/>
  </r>
  <r>
    <x v="0"/>
    <n v="0"/>
    <n v="4"/>
    <n v="9738"/>
    <x v="4"/>
    <n v="1008693"/>
    <n v="624933.80375199998"/>
    <n v="1"/>
    <n v="5217.6361200000001"/>
    <n v="0"/>
    <n v="0"/>
    <n v="0"/>
    <n v="5418.0107989999997"/>
    <n v="507407.42123199999"/>
  </r>
  <r>
    <x v="0"/>
    <n v="0"/>
    <n v="5"/>
    <n v="9690"/>
    <x v="5"/>
    <n v="1008711"/>
    <n v="318309.81075300003"/>
    <n v="1"/>
    <n v="3418.4423200000001"/>
    <n v="0"/>
    <n v="0"/>
    <n v="0"/>
    <n v="2788.4087810000001"/>
    <n v="302657.24363300001"/>
  </r>
  <r>
    <x v="0"/>
    <n v="0"/>
    <n v="6"/>
    <n v="9763"/>
    <x v="6"/>
    <n v="1008855"/>
    <n v="156457.58610099999"/>
    <n v="1"/>
    <n v="2458.880893"/>
    <n v="0"/>
    <n v="0"/>
    <n v="0"/>
    <n v="568.79250300000001"/>
    <n v="8271.9318079999994"/>
  </r>
  <r>
    <x v="0"/>
    <n v="0"/>
    <n v="7"/>
    <n v="9764"/>
    <x v="7"/>
    <n v="1008855"/>
    <n v="235586.04437799999"/>
    <n v="1"/>
    <n v="3478.4216019999999"/>
    <n v="0"/>
    <n v="0"/>
    <n v="0"/>
    <n v="1419.3894399999999"/>
    <n v="32943.528785000002"/>
  </r>
  <r>
    <x v="0"/>
    <n v="0"/>
    <n v="8"/>
    <n v="9825"/>
    <x v="8"/>
    <n v="1008924"/>
    <n v="325505.16677000001"/>
    <n v="1"/>
    <n v="3718.3159209999999"/>
    <n v="0"/>
    <n v="0"/>
    <n v="0"/>
    <n v="3699.8961180000001"/>
    <n v="169716.36637199999"/>
  </r>
  <r>
    <x v="0"/>
    <n v="0"/>
    <n v="9"/>
    <n v="10031"/>
    <x v="9"/>
    <n v="1008855"/>
    <n v="2223666.1798299998"/>
    <n v="1"/>
    <n v="7976.3524219999999"/>
    <n v="0"/>
    <n v="0"/>
    <n v="0"/>
    <n v="2141.6678740000002"/>
    <n v="98246.501841000005"/>
  </r>
  <r>
    <x v="0"/>
    <n v="0"/>
    <n v="10"/>
    <n v="10282"/>
    <x v="10"/>
    <n v="1008899"/>
    <n v="2209249.6887300001"/>
    <n v="1"/>
    <n v="8456.0776889999997"/>
    <n v="0"/>
    <n v="0"/>
    <n v="0"/>
    <n v="9490.5889129999996"/>
    <n v="1231877.7030849999"/>
  </r>
  <r>
    <x v="0"/>
    <n v="0"/>
    <n v="11"/>
    <n v="10033"/>
    <x v="11"/>
    <n v="1008924"/>
    <n v="303926.051056"/>
    <n v="1"/>
    <n v="4318.0508749999999"/>
    <n v="0"/>
    <n v="0"/>
    <n v="0"/>
    <n v="3018.435117"/>
    <n v="273560.43346299999"/>
  </r>
  <r>
    <x v="0"/>
    <n v="0"/>
    <n v="12"/>
    <n v="10058"/>
    <x v="12"/>
    <n v="1009104"/>
    <n v="337197.66935500002"/>
    <n v="1"/>
    <n v="2758.763383"/>
    <n v="0"/>
    <n v="0"/>
    <n v="0"/>
    <n v="2758.763383"/>
    <n v="337197.66935500002"/>
  </r>
  <r>
    <x v="0"/>
    <n v="0"/>
    <n v="14"/>
    <n v="10032"/>
    <x v="13"/>
    <n v="1009081"/>
    <n v="1941333.5943100001"/>
    <n v="1"/>
    <n v="8696.0430460000007"/>
    <n v="0"/>
    <n v="0"/>
    <n v="0"/>
    <n v="1259.8826349999999"/>
    <n v="32734.278264"/>
  </r>
  <r>
    <x v="0"/>
    <n v="0"/>
    <n v="15"/>
    <n v="10113"/>
    <x v="14"/>
    <n v="1009137"/>
    <n v="1662601.4959199999"/>
    <n v="1"/>
    <n v="7676.5434850000001"/>
    <n v="0"/>
    <n v="0"/>
    <n v="0"/>
    <n v="9117.7014720000006"/>
    <n v="993179.17201700003"/>
  </r>
  <r>
    <x v="0"/>
    <n v="0"/>
    <n v="16"/>
    <n v="10117"/>
    <x v="15"/>
    <n v="1009138"/>
    <n v="369568.60371699999"/>
    <n v="1"/>
    <n v="3658.3598539999998"/>
    <n v="0"/>
    <n v="0"/>
    <n v="0"/>
    <n v="3658.3598539999998"/>
    <n v="369568.60371699999"/>
  </r>
  <r>
    <x v="0"/>
    <n v="0"/>
    <n v="18"/>
    <n v="10293"/>
    <x v="16"/>
    <n v="1009215"/>
    <n v="1828937.2124999999"/>
    <n v="1"/>
    <n v="11394.820852999999"/>
    <n v="0"/>
    <n v="0"/>
    <n v="0"/>
    <n v="4817.7795390000001"/>
    <n v="416198.16974400001"/>
  </r>
  <r>
    <x v="0"/>
    <n v="0"/>
    <n v="20"/>
    <n v="10326"/>
    <x v="17"/>
    <n v="1009271"/>
    <n v="1401826.08345"/>
    <n v="1"/>
    <n v="12414.347123"/>
    <n v="0"/>
    <n v="0"/>
    <n v="0"/>
    <n v="4805.184902"/>
    <n v="692661.62343399995"/>
  </r>
  <r>
    <x v="0"/>
    <n v="0"/>
    <n v="22"/>
    <n v="10219"/>
    <x v="18"/>
    <n v="1009278"/>
    <n v="811054.57942700002"/>
    <n v="1"/>
    <n v="7436.5907550000002"/>
    <n v="0"/>
    <n v="0"/>
    <n v="0"/>
    <n v="1810.2273090000001"/>
    <n v="80976.575670000006"/>
  </r>
  <r>
    <x v="0"/>
    <n v="0"/>
    <n v="23"/>
    <n v="10312"/>
    <x v="19"/>
    <n v="1009279"/>
    <n v="425314.40753199998"/>
    <n v="1"/>
    <n v="5097.6897749999998"/>
    <n v="0"/>
    <n v="0"/>
    <n v="0"/>
    <n v="4298.7204650000003"/>
    <n v="240318.05465899999"/>
  </r>
  <r>
    <x v="0"/>
    <n v="0"/>
    <n v="24"/>
    <n v="10311"/>
    <x v="20"/>
    <n v="1009285"/>
    <n v="133978.16968799999"/>
    <n v="1"/>
    <n v="2039.0727979999999"/>
    <n v="0"/>
    <n v="0"/>
    <n v="0"/>
    <n v="1547.48332"/>
    <n v="65336.081359999996"/>
  </r>
  <r>
    <x v="0"/>
    <n v="0"/>
    <n v="26"/>
    <n v="10294"/>
    <x v="21"/>
    <n v="1009325"/>
    <n v="583577.16153899999"/>
    <n v="1"/>
    <n v="5157.6905660000002"/>
    <n v="0"/>
    <n v="0"/>
    <n v="0"/>
    <n v="5157.6905660000002"/>
    <n v="583577.16153899999"/>
  </r>
  <r>
    <x v="0"/>
    <n v="0"/>
    <n v="28"/>
    <n v="10394"/>
    <x v="22"/>
    <n v="1009342"/>
    <n v="311110.45064200001"/>
    <n v="1"/>
    <n v="3118.5481239999999"/>
    <n v="0"/>
    <n v="0"/>
    <n v="0"/>
    <n v="3032.1204250000001"/>
    <n v="246393.802704"/>
  </r>
  <r>
    <x v="0"/>
    <n v="0"/>
    <n v="30"/>
    <n v="10439"/>
    <x v="23"/>
    <n v="1009362"/>
    <n v="1623010.61307"/>
    <n v="1"/>
    <n v="10195.323087999999"/>
    <n v="0"/>
    <n v="0"/>
    <n v="0"/>
    <n v="5781.1012730000002"/>
    <n v="661604.14537100005"/>
  </r>
  <r>
    <x v="0"/>
    <n v="0"/>
    <n v="31"/>
    <n v="10324"/>
    <x v="24"/>
    <n v="1009349"/>
    <n v="243680.39809999999"/>
    <n v="1"/>
    <n v="3358.4868970000002"/>
    <n v="0"/>
    <n v="0"/>
    <n v="0"/>
    <n v="3358.4868970000002"/>
    <n v="243680.39809999999"/>
  </r>
  <r>
    <x v="0"/>
    <n v="0"/>
    <n v="32"/>
    <n v="10338"/>
    <x v="25"/>
    <n v="1009407"/>
    <n v="66538.247600000002"/>
    <n v="1"/>
    <n v="1379.360142"/>
    <n v="0"/>
    <n v="0"/>
    <n v="0"/>
    <n v="481.800229"/>
    <n v="4963.9941269999999"/>
  </r>
  <r>
    <x v="0"/>
    <n v="0"/>
    <n v="33"/>
    <n v="10482"/>
    <x v="26"/>
    <n v="1009369"/>
    <n v="284141.21308399999"/>
    <n v="1"/>
    <n v="3118.5801879999999"/>
    <n v="0"/>
    <n v="0"/>
    <n v="0"/>
    <n v="3358.616524"/>
    <n v="278970.14858600002"/>
  </r>
  <r>
    <x v="0"/>
    <n v="0"/>
    <n v="34"/>
    <n v="10456"/>
    <x v="27"/>
    <n v="1009370"/>
    <n v="445096.22644200001"/>
    <n v="1"/>
    <n v="4677.8797210000002"/>
    <n v="0"/>
    <n v="0"/>
    <n v="0"/>
    <n v="4696.9732720000002"/>
    <n v="418175.44094900001"/>
  </r>
  <r>
    <x v="0"/>
    <n v="0"/>
    <n v="35"/>
    <n v="10378"/>
    <x v="28"/>
    <n v="1009381"/>
    <n v="212209.53551300001"/>
    <n v="1"/>
    <n v="2758.762545"/>
    <n v="0"/>
    <n v="0"/>
    <n v="0"/>
    <n v="2758.762545"/>
    <n v="212209.53551300001"/>
  </r>
  <r>
    <x v="0"/>
    <n v="0"/>
    <n v="36"/>
    <n v="10330"/>
    <x v="29"/>
    <n v="1009387"/>
    <n v="222100.20581799999"/>
    <n v="1"/>
    <n v="2518.867021"/>
    <n v="0"/>
    <n v="0"/>
    <n v="0"/>
    <n v="2518.867021"/>
    <n v="222100.20581799999"/>
  </r>
  <r>
    <x v="0"/>
    <n v="0"/>
    <n v="37"/>
    <n v="10393"/>
    <x v="30"/>
    <n v="1009395"/>
    <n v="155554.77942400001"/>
    <n v="1"/>
    <n v="2158.9921260000001"/>
    <n v="0"/>
    <n v="0"/>
    <n v="0"/>
    <n v="2158.9921260000001"/>
    <n v="155554.77942400001"/>
  </r>
  <r>
    <x v="0"/>
    <n v="0"/>
    <n v="38"/>
    <n v="10412"/>
    <x v="31"/>
    <n v="1009413"/>
    <n v="403724.58460399997"/>
    <n v="1"/>
    <n v="3478.3828480000002"/>
    <n v="0"/>
    <n v="0"/>
    <n v="0"/>
    <n v="3291.6665849999999"/>
    <n v="388537.76441499998"/>
  </r>
  <r>
    <x v="0"/>
    <n v="0"/>
    <n v="39"/>
    <n v="10401"/>
    <x v="32"/>
    <n v="1009465"/>
    <n v="191522.43302999999"/>
    <n v="1"/>
    <n v="3058.5816049999999"/>
    <n v="0"/>
    <n v="0"/>
    <n v="0"/>
    <n v="2355.33185"/>
    <n v="76342.796598999994"/>
  </r>
  <r>
    <x v="0"/>
    <n v="0"/>
    <n v="40"/>
    <n v="10574"/>
    <x v="33"/>
    <n v="1009448"/>
    <n v="938753.97368599998"/>
    <n v="1"/>
    <n v="5757.4074840000003"/>
    <n v="0"/>
    <n v="0"/>
    <n v="0"/>
    <n v="5757.4074840000003"/>
    <n v="938753.97368599998"/>
  </r>
  <r>
    <x v="0"/>
    <n v="0"/>
    <n v="41"/>
    <n v="10594"/>
    <x v="34"/>
    <n v="1009436"/>
    <n v="1152767.33971"/>
    <n v="1"/>
    <n v="6537.0723369999996"/>
    <n v="0"/>
    <n v="0"/>
    <n v="0"/>
    <n v="6537.0723369999996"/>
    <n v="1152767.3397059999"/>
  </r>
  <r>
    <x v="0"/>
    <n v="0"/>
    <n v="42"/>
    <n v="10600"/>
    <x v="35"/>
    <n v="1009459"/>
    <n v="1544781.51786"/>
    <n v="1"/>
    <n v="8276.1986730000008"/>
    <n v="0"/>
    <n v="0"/>
    <n v="0"/>
    <n v="5963.8988669999999"/>
    <n v="1102880.112924"/>
  </r>
  <r>
    <x v="0"/>
    <n v="0"/>
    <n v="43"/>
    <n v="10593"/>
    <x v="36"/>
    <n v="1009466"/>
    <n v="1010666.12703"/>
    <n v="1"/>
    <n v="5277.5622009999997"/>
    <n v="0"/>
    <n v="0"/>
    <n v="0"/>
    <n v="6149.8597920000002"/>
    <n v="738910.32935999997"/>
  </r>
  <r>
    <x v="0"/>
    <n v="0"/>
    <n v="44"/>
    <n v="10504"/>
    <x v="37"/>
    <n v="1009527"/>
    <n v="254468.65062599999"/>
    <n v="1"/>
    <n v="2698.7733389999999"/>
    <n v="0"/>
    <n v="0"/>
    <n v="0"/>
    <n v="2698.7733389999999"/>
    <n v="254468.65062599999"/>
  </r>
  <r>
    <x v="0"/>
    <n v="0"/>
    <n v="45"/>
    <n v="10536"/>
    <x v="38"/>
    <n v="1009520"/>
    <n v="340789.19214499998"/>
    <n v="1"/>
    <n v="3598.3594119999998"/>
    <n v="0"/>
    <n v="0"/>
    <n v="0"/>
    <n v="3598.3594119999998"/>
    <n v="340789.19214499998"/>
  </r>
  <r>
    <x v="0"/>
    <n v="0"/>
    <n v="46"/>
    <n v="10620"/>
    <x v="39"/>
    <n v="1009644"/>
    <n v="513427.38872300001"/>
    <n v="1"/>
    <n v="3718.2889279999999"/>
    <n v="0"/>
    <n v="0"/>
    <n v="0"/>
    <n v="3718.2889279999999"/>
    <n v="513427.38872300001"/>
  </r>
  <r>
    <x v="0"/>
    <n v="0"/>
    <n v="47"/>
    <n v="10759"/>
    <x v="40"/>
    <n v="1009619"/>
    <n v="362365.16101899999"/>
    <n v="1"/>
    <n v="3358.4488959999999"/>
    <n v="0"/>
    <n v="0"/>
    <n v="0"/>
    <n v="3358.4488959999999"/>
    <n v="362365.16101899999"/>
  </r>
  <r>
    <x v="0"/>
    <n v="0"/>
    <n v="48"/>
    <n v="10882"/>
    <x v="41"/>
    <n v="1009790"/>
    <n v="499037.49365199998"/>
    <n v="1"/>
    <n v="3898.1936209999999"/>
    <n v="0"/>
    <n v="0"/>
    <n v="0"/>
    <n v="3898.1936209999999"/>
    <n v="499037.49365199998"/>
  </r>
  <r>
    <x v="0"/>
    <n v="0"/>
    <n v="49"/>
    <n v="10822"/>
    <x v="42"/>
    <n v="1009791"/>
    <n v="520619.811216"/>
    <n v="1"/>
    <n v="3778.2582130000001"/>
    <n v="0"/>
    <n v="0"/>
    <n v="0"/>
    <n v="3778.2582130000001"/>
    <n v="520619.811216"/>
  </r>
  <r>
    <x v="1"/>
    <n v="0"/>
    <n v="0"/>
    <n v="9621"/>
    <x v="0"/>
    <n v="1008727"/>
    <n v="417217.74838200002"/>
    <n v="1"/>
    <n v="3898.214297"/>
    <n v="0"/>
    <n v="0"/>
    <n v="0"/>
    <n v="1773.9916860000001"/>
    <n v="56328.482577000002"/>
  </r>
  <r>
    <x v="1"/>
    <n v="0"/>
    <n v="1"/>
    <n v="9691"/>
    <x v="1"/>
    <n v="1008711"/>
    <n v="460381.55421099998"/>
    <n v="1"/>
    <n v="4018.1736959999998"/>
    <n v="0"/>
    <n v="0"/>
    <n v="0"/>
    <n v="2267.5586480000002"/>
    <n v="74750.438949000003"/>
  </r>
  <r>
    <x v="1"/>
    <n v="0"/>
    <n v="2"/>
    <n v="10243"/>
    <x v="2"/>
    <n v="1008727"/>
    <n v="2613890.82766"/>
    <n v="1"/>
    <n v="10195.300221"/>
    <n v="0"/>
    <n v="0"/>
    <n v="0"/>
    <n v="10035.460464"/>
    <n v="2051323.0471310001"/>
  </r>
  <r>
    <x v="1"/>
    <n v="0"/>
    <n v="3"/>
    <n v="9642"/>
    <x v="3"/>
    <n v="1008727"/>
    <n v="254467.18734500001"/>
    <n v="1"/>
    <n v="2758.738143"/>
    <n v="0"/>
    <n v="0"/>
    <n v="0"/>
    <n v="626.19267500000001"/>
    <n v="20049.577344000001"/>
  </r>
  <r>
    <x v="1"/>
    <n v="0"/>
    <n v="4"/>
    <n v="9738"/>
    <x v="4"/>
    <n v="1008693"/>
    <n v="624933.80375199998"/>
    <n v="1"/>
    <n v="5217.6361200000001"/>
    <n v="0"/>
    <n v="0"/>
    <n v="0"/>
    <n v="2529.3401210000002"/>
    <n v="117526.383864"/>
  </r>
  <r>
    <x v="1"/>
    <n v="0"/>
    <n v="5"/>
    <n v="9690"/>
    <x v="5"/>
    <n v="1008711"/>
    <n v="318309.81075300003"/>
    <n v="1"/>
    <n v="3418.4423200000001"/>
    <n v="0"/>
    <n v="0"/>
    <n v="0"/>
    <n v="1129.5315399999999"/>
    <n v="15652.564296"/>
  </r>
  <r>
    <x v="1"/>
    <n v="0"/>
    <n v="6"/>
    <n v="9763"/>
    <x v="6"/>
    <n v="1008855"/>
    <n v="156457.58610099999"/>
    <n v="1"/>
    <n v="2458.880893"/>
    <n v="0"/>
    <n v="0"/>
    <n v="0"/>
    <n v="2389.42679"/>
    <n v="148185.65226"/>
  </r>
  <r>
    <x v="1"/>
    <n v="0"/>
    <n v="7"/>
    <n v="9764"/>
    <x v="7"/>
    <n v="1008855"/>
    <n v="235586.04437799999"/>
    <n v="1"/>
    <n v="3478.4216019999999"/>
    <n v="0"/>
    <n v="0"/>
    <n v="0"/>
    <n v="3019.4277619999998"/>
    <n v="202642.49321399999"/>
  </r>
  <r>
    <x v="1"/>
    <n v="0"/>
    <n v="8"/>
    <n v="9825"/>
    <x v="8"/>
    <n v="1008924"/>
    <n v="325505.16677000001"/>
    <n v="1"/>
    <n v="3718.3159209999999"/>
    <n v="0"/>
    <n v="0"/>
    <n v="0"/>
    <n v="3696.1560020000002"/>
    <n v="155788.82028099999"/>
  </r>
  <r>
    <x v="1"/>
    <n v="0"/>
    <n v="9"/>
    <n v="10031"/>
    <x v="9"/>
    <n v="1008855"/>
    <n v="2223666.1798299998"/>
    <n v="1"/>
    <n v="7976.3524219999999"/>
    <n v="0"/>
    <n v="0"/>
    <n v="0"/>
    <n v="7529.4467480000003"/>
    <n v="2125419.6827480001"/>
  </r>
  <r>
    <x v="1"/>
    <n v="0"/>
    <n v="10"/>
    <n v="10282"/>
    <x v="10"/>
    <n v="1008899"/>
    <n v="2209249.6887300001"/>
    <n v="1"/>
    <n v="8456.0776889999997"/>
    <n v="0"/>
    <n v="0"/>
    <n v="0"/>
    <n v="7167.5791760000002"/>
    <n v="977371.98513199994"/>
  </r>
  <r>
    <x v="1"/>
    <n v="0"/>
    <n v="11"/>
    <n v="10033"/>
    <x v="11"/>
    <n v="1008924"/>
    <n v="303926.051056"/>
    <n v="1"/>
    <n v="4318.0508749999999"/>
    <n v="0"/>
    <n v="0"/>
    <n v="0"/>
    <n v="2219.700957"/>
    <n v="30365.618324999999"/>
  </r>
  <r>
    <x v="1"/>
    <n v="0"/>
    <n v="13"/>
    <n v="10141"/>
    <x v="43"/>
    <n v="1009120"/>
    <n v="333592.609"/>
    <n v="1"/>
    <n v="3058.5913409999998"/>
    <n v="0"/>
    <n v="0"/>
    <n v="0"/>
    <n v="3058.5913409999998"/>
    <n v="333592.609"/>
  </r>
  <r>
    <x v="1"/>
    <n v="0"/>
    <n v="14"/>
    <n v="10032"/>
    <x v="13"/>
    <n v="1009081"/>
    <n v="1941333.5943100001"/>
    <n v="1"/>
    <n v="8696.0430460000007"/>
    <n v="0"/>
    <n v="0"/>
    <n v="0"/>
    <n v="8078.803011"/>
    <n v="1908599.3150289999"/>
  </r>
  <r>
    <x v="1"/>
    <n v="0"/>
    <n v="15"/>
    <n v="10113"/>
    <x v="14"/>
    <n v="1009137"/>
    <n v="1662601.4959199999"/>
    <n v="1"/>
    <n v="7676.5434850000001"/>
    <n v="0"/>
    <n v="0"/>
    <n v="0"/>
    <n v="5113.2100119999996"/>
    <n v="669422.32531600003"/>
  </r>
  <r>
    <x v="1"/>
    <n v="0"/>
    <n v="17"/>
    <n v="10209"/>
    <x v="44"/>
    <n v="1009214"/>
    <n v="162749.60359000001"/>
    <n v="1"/>
    <n v="2218.9747419999999"/>
    <n v="0"/>
    <n v="0"/>
    <n v="0"/>
    <n v="2218.9747419999999"/>
    <n v="162749.60359000001"/>
  </r>
  <r>
    <x v="1"/>
    <n v="0"/>
    <n v="18"/>
    <n v="10293"/>
    <x v="16"/>
    <n v="1009215"/>
    <n v="1828937.2124999999"/>
    <n v="1"/>
    <n v="11394.820852999999"/>
    <n v="0"/>
    <n v="0"/>
    <n v="0"/>
    <n v="9191.8975140000002"/>
    <n v="1412739.0423679999"/>
  </r>
  <r>
    <x v="1"/>
    <n v="0"/>
    <n v="19"/>
    <n v="10218"/>
    <x v="45"/>
    <n v="1009270"/>
    <n v="12588.342906"/>
    <n v="1"/>
    <n v="599.72226499999999"/>
    <n v="0"/>
    <n v="0"/>
    <n v="0"/>
    <n v="599.72226499999999"/>
    <n v="12588.342906"/>
  </r>
  <r>
    <x v="1"/>
    <n v="0"/>
    <n v="20"/>
    <n v="10326"/>
    <x v="17"/>
    <n v="1009271"/>
    <n v="1401826.08345"/>
    <n v="1"/>
    <n v="12414.347123"/>
    <n v="0"/>
    <n v="0"/>
    <n v="0"/>
    <n v="8695.5736209999995"/>
    <n v="709164.46073799999"/>
  </r>
  <r>
    <x v="1"/>
    <n v="0"/>
    <n v="21"/>
    <n v="10244"/>
    <x v="46"/>
    <n v="1009277"/>
    <n v="26975.005026999999"/>
    <n v="1"/>
    <n v="899.58329600000002"/>
    <n v="0"/>
    <n v="0"/>
    <n v="0"/>
    <n v="899.58329600000002"/>
    <n v="26975.005026999999"/>
  </r>
  <r>
    <x v="1"/>
    <n v="0"/>
    <n v="22"/>
    <n v="10219"/>
    <x v="18"/>
    <n v="1009278"/>
    <n v="811054.57942700002"/>
    <n v="1"/>
    <n v="7436.5907550000002"/>
    <n v="0"/>
    <n v="0"/>
    <n v="0"/>
    <n v="6735.7128460000004"/>
    <n v="730078.00325199997"/>
  </r>
  <r>
    <x v="1"/>
    <n v="0"/>
    <n v="23"/>
    <n v="10312"/>
    <x v="19"/>
    <n v="1009279"/>
    <n v="425314.40753199998"/>
    <n v="1"/>
    <n v="5097.6897749999998"/>
    <n v="0"/>
    <n v="0"/>
    <n v="0"/>
    <n v="3169.7977099999998"/>
    <n v="184996.35299300001"/>
  </r>
  <r>
    <x v="1"/>
    <n v="0"/>
    <n v="24"/>
    <n v="10311"/>
    <x v="20"/>
    <n v="1009285"/>
    <n v="133978.16968799999"/>
    <n v="1"/>
    <n v="2039.0727979999999"/>
    <n v="0"/>
    <n v="0"/>
    <n v="0"/>
    <n v="1710.2440779999999"/>
    <n v="68642.092235000004"/>
  </r>
  <r>
    <x v="1"/>
    <n v="0"/>
    <n v="25"/>
    <n v="10283"/>
    <x v="47"/>
    <n v="1009302"/>
    <n v="33269.157705999998"/>
    <n v="1"/>
    <n v="959.55530199999998"/>
    <n v="0"/>
    <n v="0"/>
    <n v="0"/>
    <n v="959.55530199999998"/>
    <n v="33269.157704999998"/>
  </r>
  <r>
    <x v="1"/>
    <n v="0"/>
    <n v="27"/>
    <n v="10292"/>
    <x v="48"/>
    <n v="1009342"/>
    <n v="6294.1556890000002"/>
    <n v="1"/>
    <n v="359.83313800000002"/>
    <n v="0"/>
    <n v="0"/>
    <n v="0"/>
    <n v="359.83313800000002"/>
    <n v="6294.1556890000002"/>
  </r>
  <r>
    <x v="1"/>
    <n v="0"/>
    <n v="28"/>
    <n v="10394"/>
    <x v="22"/>
    <n v="1009342"/>
    <n v="311110.45064200001"/>
    <n v="1"/>
    <n v="3118.5481239999999"/>
    <n v="0"/>
    <n v="0"/>
    <n v="0"/>
    <n v="1408.560244"/>
    <n v="64716.647529000002"/>
  </r>
  <r>
    <x v="1"/>
    <n v="0"/>
    <n v="29"/>
    <n v="10299"/>
    <x v="49"/>
    <n v="1009354"/>
    <n v="22479.141538"/>
    <n v="1"/>
    <n v="959.55490099999997"/>
    <n v="0"/>
    <n v="0"/>
    <n v="0"/>
    <n v="959.55490099999997"/>
    <n v="22479.141538"/>
  </r>
  <r>
    <x v="1"/>
    <n v="0"/>
    <n v="30"/>
    <n v="10439"/>
    <x v="23"/>
    <n v="1009362"/>
    <n v="1623010.61307"/>
    <n v="1"/>
    <n v="10195.323087999999"/>
    <n v="0"/>
    <n v="0"/>
    <n v="0"/>
    <n v="6711.6050150000001"/>
    <n v="961406.46718200005"/>
  </r>
  <r>
    <x v="1"/>
    <n v="0"/>
    <n v="32"/>
    <n v="10338"/>
    <x v="25"/>
    <n v="1009407"/>
    <n v="66538.247600000002"/>
    <n v="1"/>
    <n v="1379.360142"/>
    <n v="0"/>
    <n v="0"/>
    <n v="0"/>
    <n v="1379.0905130000001"/>
    <n v="61574.252149"/>
  </r>
  <r>
    <x v="1"/>
    <n v="0"/>
    <n v="33"/>
    <n v="10482"/>
    <x v="26"/>
    <n v="1009369"/>
    <n v="284141.21308399999"/>
    <n v="1"/>
    <n v="3118.5801879999999"/>
    <n v="0"/>
    <n v="0"/>
    <n v="0"/>
    <n v="452.38806399999999"/>
    <n v="5171.0645439999998"/>
  </r>
  <r>
    <x v="1"/>
    <n v="0"/>
    <n v="34"/>
    <n v="10456"/>
    <x v="27"/>
    <n v="1009370"/>
    <n v="445096.22644200001"/>
    <n v="1"/>
    <n v="4677.8797210000002"/>
    <n v="0"/>
    <n v="0"/>
    <n v="0"/>
    <n v="980.37584900000002"/>
    <n v="26920.781835000002"/>
  </r>
  <r>
    <x v="1"/>
    <n v="0"/>
    <n v="38"/>
    <n v="10412"/>
    <x v="31"/>
    <n v="1009413"/>
    <n v="403724.58460399997"/>
    <n v="1"/>
    <n v="3478.3828480000002"/>
    <n v="0"/>
    <n v="0"/>
    <n v="0"/>
    <n v="839.11886300000003"/>
    <n v="15186.821263"/>
  </r>
  <r>
    <x v="1"/>
    <n v="0"/>
    <n v="39"/>
    <n v="10401"/>
    <x v="32"/>
    <n v="1009465"/>
    <n v="191522.43302999999"/>
    <n v="1"/>
    <n v="3058.5816049999999"/>
    <n v="0"/>
    <n v="0"/>
    <n v="0"/>
    <n v="1830.729155"/>
    <n v="115179.638162"/>
  </r>
  <r>
    <x v="1"/>
    <n v="0"/>
    <n v="42"/>
    <n v="10600"/>
    <x v="35"/>
    <n v="1009459"/>
    <n v="1544781.51786"/>
    <n v="1"/>
    <n v="8276.1986730000008"/>
    <n v="0"/>
    <n v="0"/>
    <n v="0"/>
    <n v="4389.8172070000001"/>
    <n v="441901.39930699999"/>
  </r>
  <r>
    <x v="1"/>
    <n v="0"/>
    <n v="43"/>
    <n v="10593"/>
    <x v="36"/>
    <n v="1009466"/>
    <n v="1010666.12703"/>
    <n v="1"/>
    <n v="5277.5622009999997"/>
    <n v="0"/>
    <n v="0"/>
    <n v="0"/>
    <n v="3907.3644100000001"/>
    <n v="271755.802993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6">
  <r>
    <x v="0"/>
    <x v="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1"/>
    <n v="1152767.33971"/>
    <n v="504.37040300000001"/>
    <n v="8222.3341240000009"/>
    <n v="8.2220000000000001E-3"/>
  </r>
  <r>
    <x v="1"/>
    <x v="1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6"/>
    <n v="583577.16153899999"/>
    <n v="369.74943999999999"/>
    <n v="4948.8455469999999"/>
    <n v="4.9490000000000003E-3"/>
  </r>
  <r>
    <x v="0"/>
    <x v="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1"/>
    <n v="1152767.33971"/>
    <n v="85.749804999999995"/>
    <n v="211.01742200000001"/>
    <n v="2.1100000000000001E-4"/>
  </r>
  <r>
    <x v="2"/>
    <x v="2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1"/>
    <n v="243680.39809999999"/>
    <n v="130.90799999999999"/>
    <n v="1091.353224"/>
    <n v="1.091E-3"/>
  </r>
  <r>
    <x v="3"/>
    <x v="3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5"/>
    <n v="212209.53551300001"/>
    <n v="318.837335"/>
    <n v="5799.6896200000001"/>
    <n v="5.7999999999999996E-3"/>
  </r>
  <r>
    <x v="4"/>
    <x v="4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6"/>
    <n v="222100.20581799999"/>
    <n v="121.351116"/>
    <n v="554.32057799999995"/>
    <n v="5.5400000000000002E-4"/>
  </r>
  <r>
    <x v="0"/>
    <x v="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1"/>
    <n v="1152767.33971"/>
    <n v="386.46973600000001"/>
    <n v="5980.1632550000004"/>
    <n v="5.9800000000000001E-3"/>
  </r>
  <r>
    <x v="1"/>
    <x v="1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6"/>
    <n v="583577.16153899999"/>
    <n v="1276.2351000000001"/>
    <n v="50359.113010000001"/>
    <n v="5.0359000000000001E-2"/>
  </r>
  <r>
    <x v="3"/>
    <x v="3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5"/>
    <n v="212209.53551300001"/>
    <n v="1847.0851290000001"/>
    <n v="54097.645833000002"/>
    <n v="5.4098E-2"/>
  </r>
  <r>
    <x v="5"/>
    <x v="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0"/>
    <n v="938753.97368599998"/>
    <n v="728.39001399999995"/>
    <n v="8174.0178839999999"/>
    <n v="8.1740000000000007E-3"/>
  </r>
  <r>
    <x v="0"/>
    <x v="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1"/>
    <n v="1152767.33971"/>
    <n v="1511.0753219999999"/>
    <n v="30157.098579000001"/>
    <n v="3.0157E-2"/>
  </r>
  <r>
    <x v="6"/>
    <x v="6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2"/>
    <n v="337197.66935500002"/>
    <n v="227.38466099999999"/>
    <n v="1794.6074100000001"/>
    <n v="1.7949999999999999E-3"/>
  </r>
  <r>
    <x v="7"/>
    <x v="7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81.55068"/>
    <n v="262.47868499999998"/>
    <n v="2.6200000000000003E-4"/>
  </r>
  <r>
    <x v="6"/>
    <x v="6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2"/>
    <n v="337197.66935500002"/>
    <n v="210.51165800000001"/>
    <n v="2795.626139"/>
    <n v="2.7959999999999999E-3"/>
  </r>
  <r>
    <x v="8"/>
    <x v="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9"/>
    <n v="191522.43302999999"/>
    <n v="49.674844"/>
    <n v="103.305384"/>
    <n v="1.03E-4"/>
  </r>
  <r>
    <x v="8"/>
    <x v="8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9"/>
    <n v="191522.43302999999"/>
    <n v="230.62844200000001"/>
    <n v="2984.4383389999998"/>
    <n v="2.9840000000000001E-3"/>
  </r>
  <r>
    <x v="9"/>
    <x v="9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3"/>
    <n v="1010666.12703"/>
    <n v="45.180698999999997"/>
    <n v="32.141649000000001"/>
    <n v="3.1999999999999999E-5"/>
  </r>
  <r>
    <x v="9"/>
    <x v="9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3"/>
    <n v="1010666.12703"/>
    <n v="228.29577599999999"/>
    <n v="2427.4743130000002"/>
    <n v="2.4269999999999999E-3"/>
  </r>
  <r>
    <x v="10"/>
    <x v="10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"/>
    <n v="460381.55421099998"/>
    <n v="951.16983600000003"/>
    <n v="22918.636079"/>
    <n v="2.2918999999999998E-2"/>
  </r>
  <r>
    <x v="11"/>
    <x v="1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"/>
    <n v="2613890.82766"/>
    <n v="7274.289882"/>
    <n v="1657728.9729909999"/>
    <n v="1.657729"/>
  </r>
  <r>
    <x v="12"/>
    <x v="1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4"/>
    <n v="624933.80375199998"/>
    <n v="348.83549599999998"/>
    <n v="1264.632353"/>
    <n v="1.2650000000000001E-3"/>
  </r>
  <r>
    <x v="13"/>
    <x v="13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5"/>
    <n v="318309.81075300003"/>
    <n v="646.15469700000006"/>
    <n v="7666.5391490000002"/>
    <n v="7.6670000000000002E-3"/>
  </r>
  <r>
    <x v="14"/>
    <x v="14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6"/>
    <n v="156457.58610099999"/>
    <n v="50.524375999999997"/>
    <n v="155.79846800000001"/>
    <n v="1.56E-4"/>
  </r>
  <r>
    <x v="14"/>
    <x v="14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6"/>
    <n v="156457.58610099999"/>
    <n v="2289.7307639999999"/>
    <n v="143037.512587"/>
    <n v="0.143038"/>
  </r>
  <r>
    <x v="15"/>
    <x v="15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7"/>
    <n v="235586.04437799999"/>
    <n v="624.27935200000002"/>
    <n v="3008.7951760000001"/>
    <n v="3.009E-3"/>
  </r>
  <r>
    <x v="15"/>
    <x v="15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7"/>
    <n v="235586.04437799999"/>
    <n v="2814.0834030000001"/>
    <n v="195973.91936299999"/>
    <n v="0.19597400000000001"/>
  </r>
  <r>
    <x v="16"/>
    <x v="16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8"/>
    <n v="325505.16677000001"/>
    <n v="1814.342684"/>
    <n v="9602.3081980000006"/>
    <n v="9.6019999999999994E-3"/>
  </r>
  <r>
    <x v="16"/>
    <x v="16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8"/>
    <n v="325505.16677000001"/>
    <n v="3137.4975039999999"/>
    <n v="138570.75623500001"/>
    <n v="0.138571"/>
  </r>
  <r>
    <x v="17"/>
    <x v="1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9"/>
    <n v="2223666.1798299998"/>
    <n v="541.59723699999995"/>
    <n v="2045.5198049999999"/>
    <n v="2.0460000000000001E-3"/>
  </r>
  <r>
    <x v="17"/>
    <x v="1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9"/>
    <n v="2223666.1798299998"/>
    <n v="7444.3194409999996"/>
    <n v="2120062.5409840001"/>
    <n v="2.120063"/>
  </r>
  <r>
    <x v="18"/>
    <x v="18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10"/>
    <n v="2209249.6887300001"/>
    <n v="7.7048079999999999"/>
    <n v="2.444334"/>
    <n v="1.9999999999999999E-6"/>
  </r>
  <r>
    <x v="18"/>
    <x v="18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5090.0724970000001"/>
    <n v="783483.72561199998"/>
    <n v="0.78348399999999996"/>
  </r>
  <r>
    <x v="19"/>
    <x v="19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11"/>
    <n v="303926.051056"/>
    <n v="379.54783700000002"/>
    <n v="1345.232802"/>
    <n v="1.3450000000000001E-3"/>
  </r>
  <r>
    <x v="19"/>
    <x v="19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1"/>
    <n v="303926.051056"/>
    <n v="2144.7284199999999"/>
    <n v="28344.447048000002"/>
    <n v="2.8344000000000001E-2"/>
  </r>
  <r>
    <x v="20"/>
    <x v="20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3"/>
    <n v="333592.609"/>
    <n v="3058.5913390000001"/>
    <n v="333592.60904000001"/>
    <n v="0.33359299999999997"/>
  </r>
  <r>
    <x v="21"/>
    <x v="2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14"/>
    <n v="1941333.5943100001"/>
    <n v="60.213169000000001"/>
    <n v="202.131"/>
    <n v="2.02E-4"/>
  </r>
  <r>
    <x v="21"/>
    <x v="2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4"/>
    <n v="1941333.5943100001"/>
    <n v="7732.8356560000002"/>
    <n v="1892531.6193240001"/>
    <n v="1.8925320000000001"/>
  </r>
  <r>
    <x v="7"/>
    <x v="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1425.769718"/>
    <n v="8086.4714919999997"/>
    <n v="8.0859999999999994E-3"/>
  </r>
  <r>
    <x v="7"/>
    <x v="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5"/>
    <n v="1662601.4959199999"/>
    <n v="3006.4451330000002"/>
    <n v="447496.95138599997"/>
    <n v="0.44749699999999998"/>
  </r>
  <r>
    <x v="22"/>
    <x v="2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7"/>
    <n v="162749.60359000001"/>
    <n v="2218.974741"/>
    <n v="162749.603585"/>
    <n v="0.16275000000000001"/>
  </r>
  <r>
    <x v="23"/>
    <x v="23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8"/>
    <n v="1828937.2124999999"/>
    <n v="7541.8307869999999"/>
    <n v="1250244.1839719999"/>
    <n v="1.2502439999999999"/>
  </r>
  <r>
    <x v="24"/>
    <x v="24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9"/>
    <n v="12588.342906"/>
    <n v="599.72226599999999"/>
    <n v="12588.342903999999"/>
    <n v="1.2588E-2"/>
  </r>
  <r>
    <x v="25"/>
    <x v="25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0"/>
    <n v="1401826.08345"/>
    <n v="7323.834734"/>
    <n v="592092.246942"/>
    <n v="0.59209199999999995"/>
  </r>
  <r>
    <x v="26"/>
    <x v="26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1"/>
    <n v="26975.005026999999"/>
    <n v="899.58329600000002"/>
    <n v="26975.005004999999"/>
    <n v="2.6974999999999999E-2"/>
  </r>
  <r>
    <x v="27"/>
    <x v="2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22"/>
    <n v="811054.57942700002"/>
    <n v="219.71260699999999"/>
    <n v="468.04139300000003"/>
    <n v="4.6799999999999999E-4"/>
  </r>
  <r>
    <x v="27"/>
    <x v="2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2"/>
    <n v="811054.57942700002"/>
    <n v="6557.0060510000003"/>
    <n v="723755.74913200003"/>
    <n v="0.72375599999999995"/>
  </r>
  <r>
    <x v="28"/>
    <x v="28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3"/>
    <n v="425314.40753199998"/>
    <n v="696.37292400000001"/>
    <n v="14679.626866000001"/>
    <n v="1.468E-2"/>
  </r>
  <r>
    <x v="29"/>
    <x v="29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4"/>
    <n v="133978.16968799999"/>
    <n v="288.37874499999998"/>
    <n v="3024.94263"/>
    <n v="3.0249999999999999E-3"/>
  </r>
  <r>
    <x v="30"/>
    <x v="30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5"/>
    <n v="33269.157705999998"/>
    <n v="959.55530199999998"/>
    <n v="33269.157700000003"/>
    <n v="3.3269E-2"/>
  </r>
  <r>
    <x v="31"/>
    <x v="3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7"/>
    <n v="6294.1556890000002"/>
    <n v="359.83313800000002"/>
    <n v="6294.1556950000004"/>
    <n v="6.2940000000000001E-3"/>
  </r>
  <r>
    <x v="32"/>
    <x v="3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8"/>
    <n v="311110.45064200001"/>
    <n v="739.98243100000002"/>
    <n v="19780.101869999999"/>
    <n v="1.9779999999999999E-2"/>
  </r>
  <r>
    <x v="33"/>
    <x v="33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9"/>
    <n v="22479.141538"/>
    <n v="959.55490099999997"/>
    <n v="22479.141576999999"/>
    <n v="2.2478999999999999E-2"/>
  </r>
  <r>
    <x v="34"/>
    <x v="34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30"/>
    <n v="1623010.61307"/>
    <n v="479.38113399999997"/>
    <n v="2237.032162"/>
    <n v="2.2369999999999998E-3"/>
  </r>
  <r>
    <x v="34"/>
    <x v="34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30"/>
    <n v="1623010.61307"/>
    <n v="6432.5526719999998"/>
    <n v="951428.512674"/>
    <n v="0.95142899999999997"/>
  </r>
  <r>
    <x v="35"/>
    <x v="35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32"/>
    <n v="66538.247600000002"/>
    <n v="1174.0109419999999"/>
    <n v="49553.059545999997"/>
    <n v="4.9553E-2"/>
  </r>
  <r>
    <x v="36"/>
    <x v="36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38"/>
    <n v="403724.58460399997"/>
    <n v="457.79064199999999"/>
    <n v="7235.2905870000004"/>
    <n v="7.2350000000000001E-3"/>
  </r>
  <r>
    <x v="8"/>
    <x v="8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39"/>
    <n v="191522.43302999999"/>
    <n v="1402.840954"/>
    <n v="97699.285640999995"/>
    <n v="9.7698999999999994E-2"/>
  </r>
  <r>
    <x v="37"/>
    <x v="3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144.67697999999999"/>
    <n v="621.61674700000003"/>
    <n v="6.2200000000000005E-4"/>
  </r>
  <r>
    <x v="37"/>
    <x v="3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42"/>
    <n v="1544781.51786"/>
    <n v="3877.27142"/>
    <n v="411229.25422800001"/>
    <n v="0.41122900000000001"/>
  </r>
  <r>
    <x v="9"/>
    <x v="9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43"/>
    <n v="1010666.12703"/>
    <n v="131.574084"/>
    <n v="375.25685900000002"/>
    <n v="3.7500000000000001E-4"/>
  </r>
  <r>
    <x v="9"/>
    <x v="9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43"/>
    <n v="1010666.12703"/>
    <n v="2634.8727450000001"/>
    <n v="174969.804405"/>
    <n v="0.17496999999999999"/>
  </r>
  <r>
    <x v="38"/>
    <x v="38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7"/>
    <n v="362365.16101899999"/>
    <n v="757.01420800000005"/>
    <n v="21689.95652"/>
    <n v="2.1690000000000001E-2"/>
  </r>
  <r>
    <x v="39"/>
    <x v="39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8"/>
    <n v="499037.49365199998"/>
    <n v="1743.052909"/>
    <n v="119616.41700099999"/>
    <n v="0.119616"/>
  </r>
  <r>
    <x v="40"/>
    <x v="40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2536.8458970000002"/>
    <n v="265853.83358400001"/>
    <n v="0.26585399999999998"/>
  </r>
  <r>
    <x v="39"/>
    <x v="39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8"/>
    <n v="499037.49365199998"/>
    <n v="1067.019677"/>
    <n v="15677.655939"/>
    <n v="1.5678000000000001E-2"/>
  </r>
  <r>
    <x v="40"/>
    <x v="4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303.97230500000001"/>
    <n v="2365.550909"/>
    <n v="2.366E-3"/>
  </r>
  <r>
    <x v="41"/>
    <x v="4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0"/>
    <n v="417217.74838200002"/>
    <n v="2869.9406439999998"/>
    <n v="150202.97034199999"/>
    <n v="0.150203"/>
  </r>
  <r>
    <x v="41"/>
    <x v="4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0"/>
    <n v="417217.74838200002"/>
    <n v="1773.9916840000001"/>
    <n v="56328.482561999997"/>
    <n v="5.6328000000000003E-2"/>
  </r>
  <r>
    <x v="11"/>
    <x v="1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2"/>
    <n v="2613890.82766"/>
    <n v="1642.127917"/>
    <n v="15210.816983000001"/>
    <n v="1.5211000000000001E-2"/>
  </r>
  <r>
    <x v="11"/>
    <x v="1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"/>
    <n v="2613890.82766"/>
    <n v="3711.5545750000001"/>
    <n v="327950.67209000001"/>
    <n v="0.32795099999999999"/>
  </r>
  <r>
    <x v="42"/>
    <x v="4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3"/>
    <n v="254467.18734500001"/>
    <n v="2675.9722310000002"/>
    <n v="75503.105553000001"/>
    <n v="7.5503000000000001E-2"/>
  </r>
  <r>
    <x v="42"/>
    <x v="4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3"/>
    <n v="254467.18734500001"/>
    <n v="626.19267500000001"/>
    <n v="20049.577358999999"/>
    <n v="2.0049999999999998E-2"/>
  </r>
  <r>
    <x v="17"/>
    <x v="17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9"/>
    <n v="2223666.1798299998"/>
    <n v="290.18982499999998"/>
    <n v="1894.396242"/>
    <n v="1.8940000000000001E-3"/>
  </r>
  <r>
    <x v="18"/>
    <x v="18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67.746213999999995"/>
    <n v="162.58557099999999"/>
    <n v="1.63E-4"/>
  </r>
  <r>
    <x v="39"/>
    <x v="39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8"/>
    <n v="499037.49365199998"/>
    <n v="88.955388999999997"/>
    <n v="460.73489899999998"/>
    <n v="4.6099999999999998E-4"/>
  </r>
  <r>
    <x v="32"/>
    <x v="32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8"/>
    <n v="311110.45064200001"/>
    <n v="2361.1872600000002"/>
    <n v="170300.87600799999"/>
    <n v="0.17030100000000001"/>
  </r>
  <r>
    <x v="32"/>
    <x v="32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28"/>
    <n v="311110.45064200001"/>
    <n v="567.71863699999994"/>
    <n v="5850.844298"/>
    <n v="5.8510000000000003E-3"/>
  </r>
  <r>
    <x v="35"/>
    <x v="35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2"/>
    <n v="66538.247600000002"/>
    <n v="470.68054599999999"/>
    <n v="4897.7486349999999"/>
    <n v="4.8979999999999996E-3"/>
  </r>
  <r>
    <x v="35"/>
    <x v="35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2"/>
    <n v="66538.247600000002"/>
    <n v="500.36543"/>
    <n v="2763.8582489999999"/>
    <n v="2.764E-3"/>
  </r>
  <r>
    <x v="43"/>
    <x v="43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7"/>
    <n v="155554.77942400001"/>
    <n v="2263.2709850000001"/>
    <n v="35586.643676"/>
    <n v="3.5587000000000001E-2"/>
  </r>
  <r>
    <x v="36"/>
    <x v="36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8"/>
    <n v="403724.58460399997"/>
    <n v="1050.871175"/>
    <n v="25377.375951999999"/>
    <n v="2.5377E-2"/>
  </r>
  <r>
    <x v="36"/>
    <x v="36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8"/>
    <n v="403724.58460399997"/>
    <n v="29.048677000000001"/>
    <n v="30.459288999999998"/>
    <n v="3.0000000000000001E-5"/>
  </r>
  <r>
    <x v="39"/>
    <x v="39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8"/>
    <n v="499037.49365199998"/>
    <n v="2644.600762"/>
    <n v="274009.53705099999"/>
    <n v="0.27400999999999998"/>
  </r>
  <r>
    <x v="9"/>
    <x v="9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3"/>
    <n v="1010666.12703"/>
    <n v="1623.863914"/>
    <n v="53865.654107000002"/>
    <n v="5.3865999999999997E-2"/>
  </r>
  <r>
    <x v="44"/>
    <x v="44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6"/>
    <n v="513427.38872300001"/>
    <n v="1494.7525479999999"/>
    <n v="117591.023879"/>
    <n v="0.117591"/>
  </r>
  <r>
    <x v="38"/>
    <x v="38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7"/>
    <n v="362365.16101899999"/>
    <n v="667.44440299999997"/>
    <n v="11413.349575"/>
    <n v="1.1413E-2"/>
  </r>
  <r>
    <x v="25"/>
    <x v="2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0"/>
    <n v="1401826.08345"/>
    <n v="516.97643800000003"/>
    <n v="11250.279307999999"/>
    <n v="1.125E-2"/>
  </r>
  <r>
    <x v="28"/>
    <x v="28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3"/>
    <n v="425314.40753199998"/>
    <n v="125.929436"/>
    <n v="586.23452599999996"/>
    <n v="5.8600000000000004E-4"/>
  </r>
  <r>
    <x v="45"/>
    <x v="4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4"/>
    <n v="445096.22644200001"/>
    <n v="2293.5056709999999"/>
    <n v="126597.632123"/>
    <n v="0.12659799999999999"/>
  </r>
  <r>
    <x v="34"/>
    <x v="34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0"/>
    <n v="1623010.61307"/>
    <n v="488.469133"/>
    <n v="8742.7763510000004"/>
    <n v="8.7430000000000008E-3"/>
  </r>
  <r>
    <x v="37"/>
    <x v="37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621.15480400000001"/>
    <n v="15126.528482"/>
    <n v="1.5127E-2"/>
  </r>
  <r>
    <x v="46"/>
    <x v="46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5"/>
    <n v="340789.19214499998"/>
    <n v="762.404674"/>
    <n v="24169.231831000001"/>
    <n v="2.4169E-2"/>
  </r>
  <r>
    <x v="2"/>
    <x v="2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1"/>
    <n v="243680.39809999999"/>
    <n v="1066.335114"/>
    <n v="26779.819272000001"/>
    <n v="2.6780000000000002E-2"/>
  </r>
  <r>
    <x v="4"/>
    <x v="4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6"/>
    <n v="222100.20581799999"/>
    <n v="471.83062799999999"/>
    <n v="10847.21752"/>
    <n v="1.0847000000000001E-2"/>
  </r>
  <r>
    <x v="5"/>
    <x v="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0"/>
    <n v="938753.97368599998"/>
    <n v="1452.747832"/>
    <n v="85054.997401000001"/>
    <n v="8.5055000000000006E-2"/>
  </r>
  <r>
    <x v="38"/>
    <x v="3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7"/>
    <n v="362365.16101899999"/>
    <n v="477.22989799999999"/>
    <n v="2376.885409"/>
    <n v="2.3770000000000002E-3"/>
  </r>
  <r>
    <x v="37"/>
    <x v="37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1584.6052810000001"/>
    <n v="40187.888548000003"/>
    <n v="4.0188000000000001E-2"/>
  </r>
  <r>
    <x v="37"/>
    <x v="37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2"/>
    <n v="1544781.51786"/>
    <n v="964.45360200000005"/>
    <n v="22919.50333"/>
    <n v="2.2918999999999998E-2"/>
  </r>
  <r>
    <x v="9"/>
    <x v="9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3"/>
    <n v="1010666.12703"/>
    <n v="1095.8957129999999"/>
    <n v="36683.058634000001"/>
    <n v="3.6683E-2"/>
  </r>
  <r>
    <x v="9"/>
    <x v="9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3"/>
    <n v="1010666.12703"/>
    <n v="645.72036400000002"/>
    <n v="14435.943069999999"/>
    <n v="1.4435999999999999E-2"/>
  </r>
  <r>
    <x v="44"/>
    <x v="44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6"/>
    <n v="513427.38872300001"/>
    <n v="925.33116900000005"/>
    <n v="27317.764346"/>
    <n v="2.7317999999999999E-2"/>
  </r>
  <r>
    <x v="38"/>
    <x v="3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7"/>
    <n v="362365.16101899999"/>
    <n v="2590.38771"/>
    <n v="77575.854107000006"/>
    <n v="7.7576000000000006E-2"/>
  </r>
  <r>
    <x v="40"/>
    <x v="40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462.689098"/>
    <n v="6789.5913860000001"/>
    <n v="6.79E-3"/>
  </r>
  <r>
    <x v="18"/>
    <x v="18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10"/>
    <n v="2209249.6887300001"/>
    <n v="571.27685399999996"/>
    <n v="2849.5571639999998"/>
    <n v="2.8500000000000001E-3"/>
  </r>
  <r>
    <x v="18"/>
    <x v="18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2107.386207"/>
    <n v="62476.890549999996"/>
    <n v="6.2476999999999998E-2"/>
  </r>
  <r>
    <x v="32"/>
    <x v="3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28"/>
    <n v="311110.45064200001"/>
    <n v="115.588705"/>
    <n v="254.80847399999999"/>
    <n v="2.5500000000000002E-4"/>
  </r>
  <r>
    <x v="32"/>
    <x v="3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28"/>
    <n v="311110.45064200001"/>
    <n v="992.68733799999995"/>
    <n v="34771.708737000001"/>
    <n v="3.4771999999999997E-2"/>
  </r>
  <r>
    <x v="35"/>
    <x v="35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32"/>
    <n v="66538.247600000002"/>
    <n v="54.909052000000003"/>
    <n v="66.244888000000003"/>
    <n v="6.6000000000000005E-5"/>
  </r>
  <r>
    <x v="35"/>
    <x v="35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32"/>
    <n v="66538.247600000002"/>
    <n v="657.53469700000005"/>
    <n v="9123.7464579999996"/>
    <n v="9.1240000000000002E-3"/>
  </r>
  <r>
    <x v="36"/>
    <x v="36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38"/>
    <n v="403724.58460399997"/>
    <n v="40.094532999999998"/>
    <n v="63.810608999999999"/>
    <n v="6.3999999999999997E-5"/>
  </r>
  <r>
    <x v="44"/>
    <x v="44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6"/>
    <n v="513427.38872300001"/>
    <n v="1697.6358540000001"/>
    <n v="43960.541355000001"/>
    <n v="4.3961E-2"/>
  </r>
  <r>
    <x v="38"/>
    <x v="3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7"/>
    <n v="362365.16101899999"/>
    <n v="856.37724900000001"/>
    <n v="21548.346981999999"/>
    <n v="2.1548000000000001E-2"/>
  </r>
  <r>
    <x v="39"/>
    <x v="39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8"/>
    <n v="499037.49365199998"/>
    <n v="131.49132700000001"/>
    <n v="775.94536800000003"/>
    <n v="7.76E-4"/>
  </r>
  <r>
    <x v="40"/>
    <x v="40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2346.950049"/>
    <n v="41478.657145999998"/>
    <n v="4.1479000000000002E-2"/>
  </r>
  <r>
    <x v="10"/>
    <x v="10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"/>
    <n v="460381.55421099998"/>
    <n v="352.57001100000002"/>
    <n v="1997.6618089999999"/>
    <n v="1.9980000000000002E-3"/>
  </r>
  <r>
    <x v="12"/>
    <x v="1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4"/>
    <n v="624933.80375199998"/>
    <n v="765.10280899999998"/>
    <n v="5672.6200129999997"/>
    <n v="5.6730000000000001E-3"/>
  </r>
  <r>
    <x v="12"/>
    <x v="12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4"/>
    <n v="624933.80375199998"/>
    <n v="1687.0251370000001"/>
    <n v="86571.484576000003"/>
    <n v="8.6570999999999995E-2"/>
  </r>
  <r>
    <x v="15"/>
    <x v="15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7"/>
    <n v="235586.04437799999"/>
    <n v="143.88051300000001"/>
    <n v="287.59343699999999"/>
    <n v="2.8800000000000001E-4"/>
  </r>
  <r>
    <x v="15"/>
    <x v="15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7"/>
    <n v="235586.04437799999"/>
    <n v="767.78598099999999"/>
    <n v="6408.5261289999999"/>
    <n v="6.4089999999999998E-3"/>
  </r>
  <r>
    <x v="38"/>
    <x v="38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7"/>
    <n v="362365.16101899999"/>
    <n v="1614.2673649999999"/>
    <n v="96223.060438"/>
    <n v="9.6223000000000003E-2"/>
  </r>
  <r>
    <x v="36"/>
    <x v="36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8"/>
    <n v="403724.58460399997"/>
    <n v="1235.507357"/>
    <n v="26228.554198999998"/>
    <n v="2.6228999999999999E-2"/>
  </r>
  <r>
    <x v="11"/>
    <x v="11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"/>
    <n v="2613890.82766"/>
    <n v="1213.144059"/>
    <n v="19035.549144000001"/>
    <n v="1.9036000000000001E-2"/>
  </r>
  <r>
    <x v="11"/>
    <x v="11"/>
    <x v="0"/>
    <x v="3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2"/>
    <n v="2613890.82766"/>
    <n v="1250.43749"/>
    <n v="9197.0544690000006"/>
    <n v="9.1970000000000003E-3"/>
  </r>
  <r>
    <x v="13"/>
    <x v="13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5"/>
    <n v="318309.81075300003"/>
    <n v="142.17074600000001"/>
    <n v="874.53042300000004"/>
    <n v="8.7500000000000002E-4"/>
  </r>
  <r>
    <x v="14"/>
    <x v="14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6"/>
    <n v="156457.58610099999"/>
    <n v="215.560315"/>
    <n v="1496.1110209999999"/>
    <n v="1.4959999999999999E-3"/>
  </r>
  <r>
    <x v="14"/>
    <x v="14"/>
    <x v="0"/>
    <x v="3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6"/>
    <n v="156457.58610099999"/>
    <n v="220.761866"/>
    <n v="1367.3879669999999"/>
    <n v="1.3669999999999999E-3"/>
  </r>
  <r>
    <x v="17"/>
    <x v="1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9"/>
    <n v="2223666.1798299998"/>
    <n v="1721.6442460000001"/>
    <n v="45616.349961"/>
    <n v="4.5615999999999997E-2"/>
  </r>
  <r>
    <x v="17"/>
    <x v="17"/>
    <x v="0"/>
    <x v="3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9"/>
    <n v="2223666.1798299998"/>
    <n v="1053.8980320000001"/>
    <n v="5357.1420269999999"/>
    <n v="5.3569999999999998E-3"/>
  </r>
  <r>
    <x v="40"/>
    <x v="40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1082.424579"/>
    <n v="46995.374906999998"/>
    <n v="4.6995000000000002E-2"/>
  </r>
  <r>
    <x v="37"/>
    <x v="37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1302.0808239999999"/>
    <n v="70971.822492000007"/>
    <n v="7.0971999999999993E-2"/>
  </r>
  <r>
    <x v="9"/>
    <x v="9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3"/>
    <n v="1010666.12703"/>
    <n v="1146.427177"/>
    <n v="8774.0873150000007"/>
    <n v="8.7740000000000005E-3"/>
  </r>
  <r>
    <x v="9"/>
    <x v="9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3"/>
    <n v="1010666.12703"/>
    <n v="2638.8750960000002"/>
    <n v="57371.860180000003"/>
    <n v="5.7371999999999999E-2"/>
  </r>
  <r>
    <x v="5"/>
    <x v="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0"/>
    <n v="938753.97368599998"/>
    <n v="1130.594026"/>
    <n v="56595.988211999997"/>
    <n v="5.6596E-2"/>
  </r>
  <r>
    <x v="37"/>
    <x v="37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1824.153051"/>
    <n v="49078.472304000003"/>
    <n v="4.9077999999999997E-2"/>
  </r>
  <r>
    <x v="47"/>
    <x v="4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4"/>
    <n v="254468.65062599999"/>
    <n v="1165.9725619999999"/>
    <n v="30182.968441000001"/>
    <n v="3.0183000000000001E-2"/>
  </r>
  <r>
    <x v="10"/>
    <x v="10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"/>
    <n v="460381.55421099998"/>
    <n v="429.59837599999997"/>
    <n v="8368.6198280000008"/>
    <n v="8.3689999999999997E-3"/>
  </r>
  <r>
    <x v="10"/>
    <x v="10"/>
    <x v="1"/>
    <x v="3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"/>
    <n v="460381.55421099998"/>
    <n v="871.38155400000005"/>
    <n v="17704.900856"/>
    <n v="1.7704999999999999E-2"/>
  </r>
  <r>
    <x v="12"/>
    <x v="12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"/>
    <n v="624933.80375199998"/>
    <n v="63.788373"/>
    <n v="249.47398799999999"/>
    <n v="2.4899999999999998E-4"/>
  </r>
  <r>
    <x v="12"/>
    <x v="12"/>
    <x v="1"/>
    <x v="3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"/>
    <n v="624933.80375199998"/>
    <n v="705.15160700000001"/>
    <n v="12974.261828999999"/>
    <n v="1.2973999999999999E-2"/>
  </r>
  <r>
    <x v="38"/>
    <x v="3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7"/>
    <n v="362365.16101899999"/>
    <n v="907.55794200000003"/>
    <n v="37345.118889999998"/>
    <n v="3.7345000000000003E-2"/>
  </r>
  <r>
    <x v="7"/>
    <x v="7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2006.4000109999999"/>
    <n v="33457.890895999997"/>
    <n v="3.3458000000000002E-2"/>
  </r>
  <r>
    <x v="7"/>
    <x v="7"/>
    <x v="1"/>
    <x v="3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5"/>
    <n v="1662601.4959199999"/>
    <n v="529.10020499999996"/>
    <n v="2174.279814"/>
    <n v="2.1740000000000002E-3"/>
  </r>
  <r>
    <x v="40"/>
    <x v="40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1145.286593"/>
    <n v="34013.139764"/>
    <n v="3.4013000000000002E-2"/>
  </r>
  <r>
    <x v="40"/>
    <x v="4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1024.4128659999999"/>
    <n v="33549.890472999999"/>
    <n v="3.3550000000000003E-2"/>
  </r>
  <r>
    <x v="18"/>
    <x v="1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0"/>
    <n v="2209249.6887300001"/>
    <n v="397.99399"/>
    <n v="1013.892602"/>
    <n v="1.0139999999999999E-3"/>
  </r>
  <r>
    <x v="18"/>
    <x v="18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935.249596"/>
    <n v="32320.739689000002"/>
    <n v="3.2321000000000003E-2"/>
  </r>
  <r>
    <x v="1"/>
    <x v="1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6"/>
    <n v="583577.16153899999"/>
    <n v="960.325827"/>
    <n v="24155.763715000001"/>
    <n v="2.4156E-2"/>
  </r>
  <r>
    <x v="3"/>
    <x v="3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5"/>
    <n v="212209.53551300001"/>
    <n v="429.37518499999999"/>
    <n v="9025.2909319999999"/>
    <n v="9.025E-3"/>
  </r>
  <r>
    <x v="19"/>
    <x v="19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11"/>
    <n v="303926.051056"/>
    <n v="544.72818400000006"/>
    <n v="8739.1569130000007"/>
    <n v="8.7390000000000002E-3"/>
  </r>
  <r>
    <x v="21"/>
    <x v="21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14"/>
    <n v="1941333.5943100001"/>
    <n v="8.22105"/>
    <n v="2.7910119999999998"/>
    <n v="3.0000000000000001E-6"/>
  </r>
  <r>
    <x v="18"/>
    <x v="18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0"/>
    <n v="2209249.6887300001"/>
    <n v="1204.0988749999999"/>
    <n v="13973.518031"/>
    <n v="1.3974E-2"/>
  </r>
  <r>
    <x v="18"/>
    <x v="18"/>
    <x v="1"/>
    <x v="3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1119.139318"/>
    <n v="17467.092945"/>
    <n v="1.7467E-2"/>
  </r>
  <r>
    <x v="18"/>
    <x v="1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0"/>
    <n v="2209249.6887300001"/>
    <n v="466.55562800000001"/>
    <n v="8448.9723030000005"/>
    <n v="8.4489999999999999E-3"/>
  </r>
  <r>
    <x v="18"/>
    <x v="18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339.64528100000001"/>
    <n v="1671.6818390000001"/>
    <n v="1.6720000000000001E-3"/>
  </r>
  <r>
    <x v="32"/>
    <x v="32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8"/>
    <n v="311110.45064200001"/>
    <n v="720.34436100000005"/>
    <n v="15809.330647000001"/>
    <n v="1.5809E-2"/>
  </r>
  <r>
    <x v="32"/>
    <x v="32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28"/>
    <n v="311110.45064200001"/>
    <n v="610.95912999999996"/>
    <n v="4313.9937689999997"/>
    <n v="4.3140000000000001E-3"/>
  </r>
  <r>
    <x v="32"/>
    <x v="32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8"/>
    <n v="311110.45064200001"/>
    <n v="572.09443399999998"/>
    <n v="13910.682572"/>
    <n v="1.3911E-2"/>
  </r>
  <r>
    <x v="43"/>
    <x v="43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7"/>
    <n v="155554.77942400001"/>
    <n v="36.422406000000002"/>
    <n v="29.938796"/>
    <n v="3.0000000000000001E-5"/>
  </r>
  <r>
    <x v="19"/>
    <x v="19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1"/>
    <n v="303926.051056"/>
    <n v="198.618796"/>
    <n v="1160.2240409999999"/>
    <n v="1.16E-3"/>
  </r>
  <r>
    <x v="28"/>
    <x v="28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3"/>
    <n v="425314.40753199998"/>
    <n v="736.32480099999998"/>
    <n v="26502.575246"/>
    <n v="2.6502999999999999E-2"/>
  </r>
  <r>
    <x v="44"/>
    <x v="44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6"/>
    <n v="513427.38872300001"/>
    <n v="683.96437500000002"/>
    <n v="26482.976373000001"/>
    <n v="2.6483E-2"/>
  </r>
  <r>
    <x v="48"/>
    <x v="48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6"/>
    <n v="369568.60371699999"/>
    <n v="75.227918000000003"/>
    <n v="340.95398799999998"/>
    <n v="3.4099999999999999E-4"/>
  </r>
  <r>
    <x v="1"/>
    <x v="1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6"/>
    <n v="583577.16153899999"/>
    <n v="1003.012464"/>
    <n v="17933.110076000001"/>
    <n v="1.7933000000000001E-2"/>
  </r>
  <r>
    <x v="32"/>
    <x v="32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8"/>
    <n v="311110.45064200001"/>
    <n v="782.22859500000004"/>
    <n v="17843.938461999998"/>
    <n v="1.7843999999999999E-2"/>
  </r>
  <r>
    <x v="36"/>
    <x v="36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8"/>
    <n v="403724.58460399997"/>
    <n v="488.66747800000002"/>
    <n v="7086.9364880000003"/>
    <n v="7.0870000000000004E-3"/>
  </r>
  <r>
    <x v="11"/>
    <x v="11"/>
    <x v="4"/>
    <x v="4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s v="NotLake"/>
    <n v="2"/>
    <n v="2613890.82766"/>
    <n v="155.840833"/>
    <n v="665.63312699999994"/>
    <n v="6.6600000000000003E-4"/>
  </r>
  <r>
    <x v="15"/>
    <x v="1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7"/>
    <n v="235586.04437799999"/>
    <n v="271.690786"/>
    <n v="2392.7744109999999"/>
    <n v="2.3930000000000002E-3"/>
  </r>
  <r>
    <x v="15"/>
    <x v="15"/>
    <x v="0"/>
    <x v="3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7"/>
    <n v="235586.04437799999"/>
    <n v="43.974075999999997"/>
    <n v="45.539676"/>
    <n v="4.6E-5"/>
  </r>
  <r>
    <x v="16"/>
    <x v="16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8"/>
    <n v="325505.16677000001"/>
    <n v="1319.176465"/>
    <n v="17407.016328000002"/>
    <n v="1.7406999999999999E-2"/>
  </r>
  <r>
    <x v="16"/>
    <x v="16"/>
    <x v="0"/>
    <x v="3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8"/>
    <n v="325505.16677000001"/>
    <n v="557.79637600000001"/>
    <n v="3639.5912050000002"/>
    <n v="3.64E-3"/>
  </r>
  <r>
    <x v="18"/>
    <x v="18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0"/>
    <n v="2209249.6887300001"/>
    <n v="167.48289600000001"/>
    <n v="986.54740900000002"/>
    <n v="9.8700000000000003E-4"/>
  </r>
  <r>
    <x v="0"/>
    <x v="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1"/>
    <n v="1152767.33971"/>
    <n v="358.87688100000003"/>
    <n v="5622.0113840000004"/>
    <n v="5.6220000000000003E-3"/>
  </r>
  <r>
    <x v="37"/>
    <x v="3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599.71826099999998"/>
    <n v="20315.049479000001"/>
    <n v="2.0315E-2"/>
  </r>
  <r>
    <x v="9"/>
    <x v="9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3"/>
    <n v="1010666.12703"/>
    <n v="504.72100899999998"/>
    <n v="13890.363761000001"/>
    <n v="1.389E-2"/>
  </r>
  <r>
    <x v="38"/>
    <x v="3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7"/>
    <n v="362365.16101899999"/>
    <n v="410.40120000000002"/>
    <n v="5744.5530689999996"/>
    <n v="5.7450000000000001E-3"/>
  </r>
  <r>
    <x v="43"/>
    <x v="43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7"/>
    <n v="155554.77942400001"/>
    <n v="601.45422900000005"/>
    <n v="18858.007447"/>
    <n v="1.8858E-2"/>
  </r>
  <r>
    <x v="39"/>
    <x v="39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8"/>
    <n v="499037.49365199998"/>
    <n v="732.02668300000005"/>
    <n v="18774.934794000001"/>
    <n v="1.8775E-2"/>
  </r>
  <r>
    <x v="11"/>
    <x v="11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"/>
    <n v="2613890.82766"/>
    <n v="707.38694899999996"/>
    <n v="16076.905161999999"/>
    <n v="1.6077000000000001E-2"/>
  </r>
  <r>
    <x v="11"/>
    <x v="11"/>
    <x v="1"/>
    <x v="3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2"/>
    <n v="2613890.82766"/>
    <n v="523.79634699999997"/>
    <n v="2118.7907959999998"/>
    <n v="2.1189999999999998E-3"/>
  </r>
  <r>
    <x v="19"/>
    <x v="19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1"/>
    <n v="303926.051056"/>
    <n v="427.134725"/>
    <n v="7467.2942249999996"/>
    <n v="7.4669999999999997E-3"/>
  </r>
  <r>
    <x v="7"/>
    <x v="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610.32575199999997"/>
    <n v="10389.036725"/>
    <n v="1.0389000000000001E-2"/>
  </r>
  <r>
    <x v="10"/>
    <x v="10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s v="NotLake"/>
    <n v="1"/>
    <n v="460381.55421099998"/>
    <n v="76.626078000000007"/>
    <n v="81.378758000000005"/>
    <n v="8.1000000000000004E-5"/>
  </r>
  <r>
    <x v="10"/>
    <x v="10"/>
    <x v="3"/>
    <x v="3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25"/>
    <s v="Lake"/>
    <n v="1"/>
    <n v="460381.55421099998"/>
    <n v="700.36338599999999"/>
    <n v="17763.445176000001"/>
    <n v="1.7763000000000001E-2"/>
  </r>
  <r>
    <x v="27"/>
    <x v="2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2"/>
    <n v="811054.57942700002"/>
    <n v="245.79271"/>
    <n v="2635.7972650000002"/>
    <n v="2.6359999999999999E-3"/>
  </r>
  <r>
    <x v="29"/>
    <x v="29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4"/>
    <n v="133978.16968799999"/>
    <n v="509.00352900000001"/>
    <n v="14762.019410999999"/>
    <n v="1.4762000000000001E-2"/>
  </r>
  <r>
    <x v="29"/>
    <x v="29"/>
    <x v="0"/>
    <x v="3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24"/>
    <n v="133978.16968799999"/>
    <n v="80.183806000000004"/>
    <n v="98.570826999999994"/>
    <n v="9.8999999999999994E-5"/>
  </r>
  <r>
    <x v="7"/>
    <x v="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222.30620300000001"/>
    <n v="2284.9193169999999"/>
    <n v="2.2850000000000001E-3"/>
  </r>
  <r>
    <x v="10"/>
    <x v="10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"/>
    <n v="460381.55421099998"/>
    <n v="25.698833"/>
    <n v="12.645949999999999"/>
    <n v="1.2999999999999999E-5"/>
  </r>
  <r>
    <x v="10"/>
    <x v="10"/>
    <x v="1"/>
    <x v="3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"/>
    <n v="460381.55421099998"/>
    <n v="38.711804999999998"/>
    <n v="20.965719"/>
    <n v="2.0999999999999999E-5"/>
  </r>
  <r>
    <x v="12"/>
    <x v="12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"/>
    <n v="624933.80375199998"/>
    <n v="936.58135000000004"/>
    <n v="7134.0322560000004"/>
    <n v="7.1339999999999997E-3"/>
  </r>
  <r>
    <x v="12"/>
    <x v="12"/>
    <x v="1"/>
    <x v="3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"/>
    <n v="624933.80375199998"/>
    <n v="1019.9920499999999"/>
    <n v="9344.2720260000006"/>
    <n v="9.3439999999999999E-3"/>
  </r>
  <r>
    <x v="7"/>
    <x v="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682.892245"/>
    <n v="15373.550888"/>
    <n v="1.5374000000000001E-2"/>
  </r>
  <r>
    <x v="10"/>
    <x v="10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"/>
    <n v="460381.55421099998"/>
    <n v="1307.551369"/>
    <n v="11442.747633000001"/>
    <n v="1.1443E-2"/>
  </r>
  <r>
    <x v="10"/>
    <x v="10"/>
    <x v="1"/>
    <x v="3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"/>
    <n v="460381.55421099998"/>
    <n v="730.42874700000004"/>
    <n v="3722.5370320000002"/>
    <n v="3.7230000000000002E-3"/>
  </r>
  <r>
    <x v="25"/>
    <x v="2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0"/>
    <n v="1401826.08345"/>
    <n v="561.30019700000003"/>
    <n v="13744.317625"/>
    <n v="1.3743999999999999E-2"/>
  </r>
  <r>
    <x v="28"/>
    <x v="28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3"/>
    <n v="425314.40753199998"/>
    <n v="159.52292499999999"/>
    <n v="1339.9949810000001"/>
    <n v="1.34E-3"/>
  </r>
  <r>
    <x v="18"/>
    <x v="1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0"/>
    <n v="2209249.6887300001"/>
    <n v="766.21906000000001"/>
    <n v="13790.208375"/>
    <n v="1.379E-2"/>
  </r>
  <r>
    <x v="18"/>
    <x v="18"/>
    <x v="2"/>
    <x v="3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285.52839499999999"/>
    <n v="1100.528341"/>
    <n v="1.101E-3"/>
  </r>
  <r>
    <x v="39"/>
    <x v="39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8"/>
    <n v="499037.49365199998"/>
    <n v="582.105323"/>
    <n v="9902.5361740000008"/>
    <n v="9.9030000000000003E-3"/>
  </r>
  <r>
    <x v="40"/>
    <x v="4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439.15928600000001"/>
    <n v="3439.1604659999998"/>
    <n v="3.4390000000000002E-3"/>
  </r>
  <r>
    <x v="9"/>
    <x v="9"/>
    <x v="5"/>
    <x v="5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3"/>
    <n v="1010666.12703"/>
    <n v="576.04593799999998"/>
    <n v="11384.357672"/>
    <n v="1.1384E-2"/>
  </r>
  <r>
    <x v="5"/>
    <x v="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0"/>
    <n v="938753.97368599998"/>
    <n v="445.93817799999999"/>
    <n v="13517.510139"/>
    <n v="1.3518000000000001E-2"/>
  </r>
  <r>
    <x v="5"/>
    <x v="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0"/>
    <n v="938753.97368599998"/>
    <n v="36.380011000000003"/>
    <n v="34.194268999999998"/>
    <n v="3.4E-5"/>
  </r>
  <r>
    <x v="19"/>
    <x v="19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1"/>
    <n v="303926.051056"/>
    <n v="334.09252199999997"/>
    <n v="4257.6513029999996"/>
    <n v="4.2579999999999996E-3"/>
  </r>
  <r>
    <x v="37"/>
    <x v="3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427.67725200000001"/>
    <n v="12396.971694"/>
    <n v="1.2397E-2"/>
  </r>
  <r>
    <x v="44"/>
    <x v="44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6"/>
    <n v="513427.38872300001"/>
    <n v="39.735866000000001"/>
    <n v="61.749532000000002"/>
    <n v="6.2000000000000003E-5"/>
  </r>
  <r>
    <x v="40"/>
    <x v="40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9"/>
    <n v="520619.811216"/>
    <n v="692.86546399999997"/>
    <n v="12175.426024"/>
    <n v="1.2175E-2"/>
  </r>
  <r>
    <x v="47"/>
    <x v="47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4"/>
    <n v="254468.65062599999"/>
    <n v="464.05604"/>
    <n v="12150.338960999999"/>
    <n v="1.2149999999999999E-2"/>
  </r>
  <r>
    <x v="7"/>
    <x v="7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693.63291200000003"/>
    <n v="9677.4132279999994"/>
    <n v="9.6769999999999998E-3"/>
  </r>
  <r>
    <x v="48"/>
    <x v="48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6"/>
    <n v="369568.60371699999"/>
    <n v="451.562997"/>
    <n v="2098.388567"/>
    <n v="2.098E-3"/>
  </r>
  <r>
    <x v="5"/>
    <x v="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0"/>
    <n v="938753.97368599998"/>
    <n v="80.699404999999999"/>
    <n v="269.55141800000001"/>
    <n v="2.7E-4"/>
  </r>
  <r>
    <x v="19"/>
    <x v="19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1"/>
    <n v="303926.051056"/>
    <n v="596.31793700000003"/>
    <n v="8854.9540230000002"/>
    <n v="8.855E-3"/>
  </r>
  <r>
    <x v="19"/>
    <x v="19"/>
    <x v="0"/>
    <x v="3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1"/>
    <n v="303926.051056"/>
    <n v="295.61671899999999"/>
    <n v="1400.991722"/>
    <n v="1.4009999999999999E-3"/>
  </r>
  <r>
    <x v="23"/>
    <x v="23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8"/>
    <n v="1828937.2124999999"/>
    <n v="614.85078599999997"/>
    <n v="9074.2625609999996"/>
    <n v="9.0740000000000005E-3"/>
  </r>
  <r>
    <x v="1"/>
    <x v="1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6"/>
    <n v="583577.16153899999"/>
    <n v="133.16493"/>
    <n v="967.66708400000005"/>
    <n v="9.68E-4"/>
  </r>
  <r>
    <x v="37"/>
    <x v="37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415.286451"/>
    <n v="5318.1781860000001"/>
    <n v="5.3179999999999998E-3"/>
  </r>
  <r>
    <x v="44"/>
    <x v="44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6"/>
    <n v="513427.38872300001"/>
    <n v="434.382856"/>
    <n v="4566.820858"/>
    <n v="4.5669999999999999E-3"/>
  </r>
  <r>
    <x v="25"/>
    <x v="2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0"/>
    <n v="1401826.08345"/>
    <n v="587.13930000000005"/>
    <n v="9788.6770830000005"/>
    <n v="9.7890000000000008E-3"/>
  </r>
  <r>
    <x v="4"/>
    <x v="4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6"/>
    <n v="222100.20581799999"/>
    <n v="507.430385"/>
    <n v="9611.7859110000009"/>
    <n v="9.6120000000000008E-3"/>
  </r>
  <r>
    <x v="45"/>
    <x v="45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4"/>
    <n v="445096.22644200001"/>
    <n v="552.32097699999997"/>
    <n v="9198.5565580000002"/>
    <n v="9.1990000000000006E-3"/>
  </r>
  <r>
    <x v="25"/>
    <x v="25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0"/>
    <n v="1401826.08345"/>
    <n v="458.27568200000002"/>
    <n v="8503.463694"/>
    <n v="8.5030000000000001E-3"/>
  </r>
  <r>
    <x v="28"/>
    <x v="28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3"/>
    <n v="425314.40753199998"/>
    <n v="80.691590000000005"/>
    <n v="382.665121"/>
    <n v="3.8299999999999999E-4"/>
  </r>
  <r>
    <x v="0"/>
    <x v="0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1"/>
    <n v="1152767.33971"/>
    <n v="355.165369"/>
    <n v="8467.1625779999995"/>
    <n v="8.4670000000000006E-3"/>
  </r>
  <r>
    <x v="11"/>
    <x v="11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"/>
    <n v="2613890.82766"/>
    <n v="310.526071"/>
    <n v="2236.531665"/>
    <n v="2.2369999999999998E-3"/>
  </r>
  <r>
    <x v="23"/>
    <x v="23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8"/>
    <n v="1828937.2124999999"/>
    <n v="405.779562"/>
    <n v="8039.3796560000001"/>
    <n v="8.0389999999999993E-3"/>
  </r>
  <r>
    <x v="25"/>
    <x v="2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0"/>
    <n v="1401826.08345"/>
    <n v="43.790827999999998"/>
    <n v="58.926760999999999"/>
    <n v="5.8999999999999998E-5"/>
  </r>
  <r>
    <x v="18"/>
    <x v="18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0"/>
    <n v="2209249.6887300001"/>
    <n v="351.06416200000001"/>
    <n v="7407.438564"/>
    <n v="7.4070000000000004E-3"/>
  </r>
  <r>
    <x v="23"/>
    <x v="23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8"/>
    <n v="1828937.2124999999"/>
    <n v="401.46022199999999"/>
    <n v="5065.1453970000002"/>
    <n v="5.0650000000000001E-3"/>
  </r>
  <r>
    <x v="25"/>
    <x v="2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0"/>
    <n v="1401826.08345"/>
    <n v="302.20375300000001"/>
    <n v="2358.974905"/>
    <n v="2.359E-3"/>
  </r>
  <r>
    <x v="4"/>
    <x v="4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6"/>
    <n v="222100.20581799999"/>
    <n v="433.84047399999997"/>
    <n v="5114.0592239999996"/>
    <n v="5.1139999999999996E-3"/>
  </r>
  <r>
    <x v="5"/>
    <x v="5"/>
    <x v="1"/>
    <x v="1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0"/>
    <n v="938753.97368599998"/>
    <n v="234.08920499999999"/>
    <n v="1822.0781830000001"/>
    <n v="1.8220000000000001E-3"/>
  </r>
  <r>
    <x v="25"/>
    <x v="2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0"/>
    <n v="1401826.08345"/>
    <n v="198.873862"/>
    <n v="1399.697185"/>
    <n v="1.4E-3"/>
  </r>
  <r>
    <x v="28"/>
    <x v="28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23"/>
    <n v="425314.40753199998"/>
    <n v="322.37581299999999"/>
    <n v="3827.3096019999998"/>
    <n v="3.8270000000000001E-3"/>
  </r>
  <r>
    <x v="45"/>
    <x v="4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4"/>
    <n v="445096.22644200001"/>
    <n v="191.42800199999999"/>
    <n v="1557.619068"/>
    <n v="1.5579999999999999E-3"/>
  </r>
  <r>
    <x v="45"/>
    <x v="45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34"/>
    <n v="445096.22644200001"/>
    <n v="306.96810699999997"/>
    <n v="6410.4936930000003"/>
    <n v="6.4099999999999999E-3"/>
  </r>
  <r>
    <x v="0"/>
    <x v="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1"/>
    <n v="1152767.33971"/>
    <n v="380.60024700000002"/>
    <n v="6080.032518"/>
    <n v="6.0800000000000003E-3"/>
  </r>
  <r>
    <x v="0"/>
    <x v="0"/>
    <x v="0"/>
    <x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1"/>
    <n v="1152767.33971"/>
    <n v="257.87651299999999"/>
    <n v="2365.6439059999998"/>
    <n v="2.366E-3"/>
  </r>
  <r>
    <x v="37"/>
    <x v="37"/>
    <x v="2"/>
    <x v="2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2"/>
    <n v="1544781.51786"/>
    <n v="229.44877099999999"/>
    <n v="3693.7229670000002"/>
    <n v="3.6939999999999998E-3"/>
  </r>
  <r>
    <x v="5"/>
    <x v="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0"/>
    <n v="938753.97368599998"/>
    <n v="40.876916999999999"/>
    <n v="37.560082999999999"/>
    <n v="3.8000000000000002E-5"/>
  </r>
  <r>
    <x v="7"/>
    <x v="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5"/>
    <n v="1662601.4959199999"/>
    <n v="1087.272181"/>
    <n v="26220.051812999998"/>
    <n v="2.622E-2"/>
  </r>
  <r>
    <x v="7"/>
    <x v="7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5"/>
    <n v="1662601.4959199999"/>
    <n v="1969.474831"/>
    <n v="157577.32956000001"/>
    <n v="0.15757699999999999"/>
  </r>
  <r>
    <x v="23"/>
    <x v="2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8"/>
    <n v="1828937.2124999999"/>
    <n v="2865.51791"/>
    <n v="163819.75390700001"/>
    <n v="0.16381999999999999"/>
  </r>
  <r>
    <x v="23"/>
    <x v="23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8"/>
    <n v="1828937.2124999999"/>
    <n v="2692.3268069999999"/>
    <n v="162494.857934"/>
    <n v="0.162495"/>
  </r>
  <r>
    <x v="25"/>
    <x v="2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0"/>
    <n v="1401826.08345"/>
    <n v="2794.0425289999998"/>
    <n v="205889.55119299999"/>
    <n v="0.20588999999999999"/>
  </r>
  <r>
    <x v="25"/>
    <x v="25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0"/>
    <n v="1401826.08345"/>
    <n v="2001.354061"/>
    <n v="117072.21301399999"/>
    <n v="0.117072"/>
  </r>
  <r>
    <x v="27"/>
    <x v="2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2"/>
    <n v="811054.57942700002"/>
    <n v="1200.869432"/>
    <n v="46965.213524999999"/>
    <n v="4.6965E-2"/>
  </r>
  <r>
    <x v="27"/>
    <x v="27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2"/>
    <n v="811054.57942700002"/>
    <n v="356.431828"/>
    <n v="2050.8594589999998"/>
    <n v="2.0509999999999999E-3"/>
  </r>
  <r>
    <x v="28"/>
    <x v="2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3"/>
    <n v="425314.40753199998"/>
    <n v="2816.2347669999999"/>
    <n v="116562.378752"/>
    <n v="0.116562"/>
  </r>
  <r>
    <x v="28"/>
    <x v="28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3"/>
    <n v="425314.40753199998"/>
    <n v="2903.9133550000001"/>
    <n v="169567.37530000001"/>
    <n v="0.169567"/>
  </r>
  <r>
    <x v="29"/>
    <x v="29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4"/>
    <n v="133978.16968799999"/>
    <n v="1706.724569"/>
    <n v="50562.520970999998"/>
    <n v="5.0562999999999997E-2"/>
  </r>
  <r>
    <x v="29"/>
    <x v="29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4"/>
    <n v="133978.16968799999"/>
    <n v="1633.528137"/>
    <n v="64987.787529000001"/>
    <n v="6.4988000000000004E-2"/>
  </r>
  <r>
    <x v="49"/>
    <x v="49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3"/>
    <n v="284141.21308399999"/>
    <n v="1855.236924"/>
    <n v="107493.575098"/>
    <n v="0.10749400000000001"/>
  </r>
  <r>
    <x v="49"/>
    <x v="49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33"/>
    <n v="284141.21308399999"/>
    <n v="452.38806399999999"/>
    <n v="5171.0645469999999"/>
    <n v="5.1710000000000002E-3"/>
  </r>
  <r>
    <x v="45"/>
    <x v="4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4"/>
    <n v="445096.22644200001"/>
    <n v="2501.2704560000002"/>
    <n v="101053.63791400001"/>
    <n v="0.101054"/>
  </r>
  <r>
    <x v="45"/>
    <x v="45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34"/>
    <n v="445096.22644200001"/>
    <n v="980.37584900000002"/>
    <n v="26920.781823000001"/>
    <n v="2.6921E-2"/>
  </r>
  <r>
    <x v="25"/>
    <x v="2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0"/>
    <n v="1401826.08345"/>
    <n v="2479.0828729999998"/>
    <n v="172219.94115"/>
    <n v="0.17222000000000001"/>
  </r>
  <r>
    <x v="28"/>
    <x v="2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3"/>
    <n v="425314.40753199998"/>
    <n v="2986.5037040000002"/>
    <n v="80327.074764000005"/>
    <n v="8.0326999999999996E-2"/>
  </r>
  <r>
    <x v="49"/>
    <x v="49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3"/>
    <n v="284141.21308399999"/>
    <n v="555.78825900000004"/>
    <n v="11505.473277999999"/>
    <n v="1.1505E-2"/>
  </r>
  <r>
    <x v="45"/>
    <x v="4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4"/>
    <n v="445096.22644200001"/>
    <n v="4795.1111179999998"/>
    <n v="153981.321559"/>
    <n v="0.15398100000000001"/>
  </r>
  <r>
    <x v="5"/>
    <x v="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0"/>
    <n v="938753.97368599998"/>
    <n v="317.62875700000001"/>
    <n v="3281.4416299999998"/>
    <n v="3.2810000000000001E-3"/>
  </r>
  <r>
    <x v="47"/>
    <x v="4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4"/>
    <n v="254468.65062599999"/>
    <n v="3172.4670379999998"/>
    <n v="134149.597523"/>
    <n v="0.13414999999999999"/>
  </r>
  <r>
    <x v="46"/>
    <x v="46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5"/>
    <n v="340789.19214499998"/>
    <n v="179.00387499999999"/>
    <n v="1434.3125809999999"/>
    <n v="1.4339999999999999E-3"/>
  </r>
  <r>
    <x v="7"/>
    <x v="7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5"/>
    <n v="1662601.4959199999"/>
    <n v="845.62498300000004"/>
    <n v="22592.128938999998"/>
    <n v="2.2592000000000001E-2"/>
  </r>
  <r>
    <x v="48"/>
    <x v="48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6"/>
    <n v="369568.60371699999"/>
    <n v="30.110685"/>
    <n v="11.385039000000001"/>
    <n v="1.1E-5"/>
  </r>
  <r>
    <x v="23"/>
    <x v="23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8"/>
    <n v="1828937.2124999999"/>
    <n v="927.22218899999996"/>
    <n v="33869.282904"/>
    <n v="3.3869000000000003E-2"/>
  </r>
  <r>
    <x v="12"/>
    <x v="12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"/>
    <n v="624933.80375199998"/>
    <n v="1289.487163"/>
    <n v="32243.338210000002"/>
    <n v="3.2243000000000001E-2"/>
  </r>
  <r>
    <x v="10"/>
    <x v="10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"/>
    <n v="460381.55421099998"/>
    <n v="4187.4181230000004"/>
    <n v="365725.724689"/>
    <n v="0.365726"/>
  </r>
  <r>
    <x v="10"/>
    <x v="10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"/>
    <n v="460381.55421099998"/>
    <n v="828.36504300000001"/>
    <n v="8081.9001150000004"/>
    <n v="8.0820000000000006E-3"/>
  </r>
  <r>
    <x v="12"/>
    <x v="12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"/>
    <n v="624933.80375199998"/>
    <n v="3641.76953"/>
    <n v="290544.47071899998"/>
    <n v="0.29054400000000002"/>
  </r>
  <r>
    <x v="12"/>
    <x v="12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4"/>
    <n v="624933.80375199998"/>
    <n v="1093.453759"/>
    <n v="7371.7329980000004"/>
    <n v="7.3720000000000001E-3"/>
  </r>
  <r>
    <x v="13"/>
    <x v="1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5"/>
    <n v="318309.81075300003"/>
    <n v="2062.252399"/>
    <n v="123878.85945800001"/>
    <n v="0.123879"/>
  </r>
  <r>
    <x v="13"/>
    <x v="13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5"/>
    <n v="318309.81075300003"/>
    <n v="345.14006499999999"/>
    <n v="3085.678617"/>
    <n v="3.0860000000000002E-3"/>
  </r>
  <r>
    <x v="15"/>
    <x v="1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7"/>
    <n v="235586.04437799999"/>
    <n v="335.22799900000001"/>
    <n v="2548.1270399999999"/>
    <n v="2.5479999999999999E-3"/>
  </r>
  <r>
    <x v="15"/>
    <x v="15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7"/>
    <n v="235586.04437799999"/>
    <n v="107.600675"/>
    <n v="214.50954300000001"/>
    <n v="2.1499999999999999E-4"/>
  </r>
  <r>
    <x v="16"/>
    <x v="16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8"/>
    <n v="325505.16677000001"/>
    <n v="28.108744000000002"/>
    <n v="10.954293"/>
    <n v="1.1E-5"/>
  </r>
  <r>
    <x v="5"/>
    <x v="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0"/>
    <n v="938753.97368599998"/>
    <n v="94.757949999999994"/>
    <n v="403.541876"/>
    <n v="4.0400000000000001E-4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1841.5653070000001"/>
    <n v="101228.70430899999"/>
    <n v="0.101229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834.24054899999999"/>
    <n v="14297.376904999999"/>
    <n v="1.4297000000000001E-2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1150.1526610000001"/>
    <n v="12365.932633"/>
    <n v="1.2366E-2"/>
  </r>
  <r>
    <x v="18"/>
    <x v="18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0"/>
    <n v="2209249.6887300001"/>
    <n v="984.71785699999998"/>
    <n v="14415.452871"/>
    <n v="1.4415000000000001E-2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377.31129299999998"/>
    <n v="4509.8085300000002"/>
    <n v="4.5100000000000001E-3"/>
  </r>
  <r>
    <x v="5"/>
    <x v="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0"/>
    <n v="938753.97368599998"/>
    <n v="2904.872824"/>
    <n v="200054.10553"/>
    <n v="0.20005400000000001"/>
  </r>
  <r>
    <x v="0"/>
    <x v="0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1"/>
    <n v="1152767.33971"/>
    <n v="5567.7446399999999"/>
    <n v="626257.92614899995"/>
    <n v="0.62625799999999998"/>
  </r>
  <r>
    <x v="11"/>
    <x v="1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"/>
    <n v="2613890.82766"/>
    <n v="3576.0994099999998"/>
    <n v="330188.56326800003"/>
    <n v="0.33018900000000001"/>
  </r>
  <r>
    <x v="11"/>
    <x v="11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"/>
    <n v="2613890.82766"/>
    <n v="2306.545948"/>
    <n v="37427.007138000001"/>
    <n v="3.7427000000000002E-2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1521.9070360000001"/>
    <n v="97524.692433999997"/>
    <n v="9.7525000000000001E-2"/>
  </r>
  <r>
    <x v="11"/>
    <x v="1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"/>
    <n v="2613890.82766"/>
    <n v="912.36084500000004"/>
    <n v="18121.332631000001"/>
    <n v="1.8121000000000002E-2"/>
  </r>
  <r>
    <x v="1"/>
    <x v="1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26"/>
    <n v="583577.16153899999"/>
    <n v="837.85867399999995"/>
    <n v="16759.646616999999"/>
    <n v="1.6760000000000001E-2"/>
  </r>
  <r>
    <x v="3"/>
    <x v="3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35"/>
    <n v="212209.53551300001"/>
    <n v="276.32754799999998"/>
    <n v="3209.6450970000001"/>
    <n v="3.2100000000000002E-3"/>
  </r>
  <r>
    <x v="0"/>
    <x v="0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41"/>
    <n v="1152767.33971"/>
    <n v="249.12494000000001"/>
    <n v="2390.4587649999999"/>
    <n v="2.3900000000000002E-3"/>
  </r>
  <r>
    <x v="5"/>
    <x v="5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40"/>
    <n v="938753.97368599998"/>
    <n v="1186.1704669999999"/>
    <n v="45334.670093000001"/>
    <n v="4.5335E-2"/>
  </r>
  <r>
    <x v="0"/>
    <x v="0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41"/>
    <n v="1152767.33971"/>
    <n v="2797.4348129999998"/>
    <n v="241531.49427200001"/>
    <n v="0.241532"/>
  </r>
  <r>
    <x v="7"/>
    <x v="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5"/>
    <n v="1662601.4959199999"/>
    <n v="3981.2580560000001"/>
    <n v="138296.02598999999"/>
    <n v="0.138296"/>
  </r>
  <r>
    <x v="7"/>
    <x v="7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5"/>
    <n v="1662601.4959199999"/>
    <n v="512.17959399999995"/>
    <n v="9279.6119880000006"/>
    <n v="9.2800000000000001E-3"/>
  </r>
  <r>
    <x v="48"/>
    <x v="4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6"/>
    <n v="369568.60371699999"/>
    <n v="3443.50074"/>
    <n v="254819.293037"/>
    <n v="0.25481900000000002"/>
  </r>
  <r>
    <x v="23"/>
    <x v="2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8"/>
    <n v="1828937.2124999999"/>
    <n v="459.59302200000002"/>
    <n v="3882.252309"/>
    <n v="3.882E-3"/>
  </r>
  <r>
    <x v="1"/>
    <x v="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6"/>
    <n v="583577.16153899999"/>
    <n v="4332.1269780000002"/>
    <n v="296096.29904999997"/>
    <n v="0.29609600000000003"/>
  </r>
  <r>
    <x v="3"/>
    <x v="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5"/>
    <n v="212209.53551300001"/>
    <n v="1700.4876139999999"/>
    <n v="35079.96516"/>
    <n v="3.508E-2"/>
  </r>
  <r>
    <x v="0"/>
    <x v="0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1"/>
    <n v="1152767.33971"/>
    <n v="339.76685400000002"/>
    <n v="4268.8328670000001"/>
    <n v="4.2690000000000002E-3"/>
  </r>
  <r>
    <x v="1"/>
    <x v="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6"/>
    <n v="583577.16153899999"/>
    <n v="513.31743600000004"/>
    <n v="11037.958280000001"/>
    <n v="1.1037999999999999E-2"/>
  </r>
  <r>
    <x v="23"/>
    <x v="2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8"/>
    <n v="1828937.2124999999"/>
    <n v="787.96644300000003"/>
    <n v="3802.6905390000002"/>
    <n v="3.803E-3"/>
  </r>
  <r>
    <x v="1"/>
    <x v="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6"/>
    <n v="583577.16153899999"/>
    <n v="1042.983878"/>
    <n v="36671.543593000002"/>
    <n v="3.6672000000000003E-2"/>
  </r>
  <r>
    <x v="0"/>
    <x v="0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1"/>
    <n v="1152767.33971"/>
    <n v="1680.344435"/>
    <n v="88473.724149999995"/>
    <n v="8.8473999999999997E-2"/>
  </r>
  <r>
    <x v="1"/>
    <x v="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6"/>
    <n v="583577.16153899999"/>
    <n v="169.077879"/>
    <n v="1356.4094190000001"/>
    <n v="1.356E-3"/>
  </r>
  <r>
    <x v="3"/>
    <x v="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5"/>
    <n v="212209.53551300001"/>
    <n v="550.64845500000001"/>
    <n v="12207.979889"/>
    <n v="1.2208E-2"/>
  </r>
  <r>
    <x v="3"/>
    <x v="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5"/>
    <n v="212209.53551300001"/>
    <n v="10.914593"/>
    <n v="5.3138889999999996"/>
    <n v="5.0000000000000004E-6"/>
  </r>
  <r>
    <x v="3"/>
    <x v="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5"/>
    <n v="212209.53551300001"/>
    <n v="274.913614"/>
    <n v="2216.741689"/>
    <n v="2.2169999999999998E-3"/>
  </r>
  <r>
    <x v="5"/>
    <x v="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0"/>
    <n v="938753.97368599998"/>
    <n v="465.89663999999999"/>
    <n v="8259.5134010000002"/>
    <n v="8.26E-3"/>
  </r>
  <r>
    <x v="0"/>
    <x v="0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1"/>
    <n v="1152767.33971"/>
    <n v="28.875806999999998"/>
    <n v="12.742265"/>
    <n v="1.2999999999999999E-5"/>
  </r>
  <r>
    <x v="10"/>
    <x v="10"/>
    <x v="8"/>
    <x v="3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25"/>
    <s v="Lake"/>
    <n v="1"/>
    <n v="460381.55421099998"/>
    <n v="318.95555300000001"/>
    <n v="2291.4179730000001"/>
    <n v="2.2910000000000001E-3"/>
  </r>
  <r>
    <x v="13"/>
    <x v="13"/>
    <x v="8"/>
    <x v="3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25"/>
    <s v="Lake"/>
    <n v="5"/>
    <n v="318309.81075300003"/>
    <n v="291.42586999999997"/>
    <n v="1510.1488569999999"/>
    <n v="1.5100000000000001E-3"/>
  </r>
  <r>
    <x v="7"/>
    <x v="7"/>
    <x v="8"/>
    <x v="8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s v="NotLake"/>
    <n v="15"/>
    <n v="1662601.4959199999"/>
    <n v="515.18583699999999"/>
    <n v="10443.401388"/>
    <n v="1.0442999999999999E-2"/>
  </r>
  <r>
    <x v="7"/>
    <x v="7"/>
    <x v="8"/>
    <x v="3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25"/>
    <s v="Lake"/>
    <n v="15"/>
    <n v="1662601.4959199999"/>
    <n v="3.5888200000000001"/>
    <n v="0.28852299999999997"/>
    <n v="0"/>
  </r>
  <r>
    <x v="18"/>
    <x v="18"/>
    <x v="8"/>
    <x v="8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s v="NotLake"/>
    <n v="10"/>
    <n v="2209249.6887300001"/>
    <n v="146.57820899999999"/>
    <n v="702.55917099999999"/>
    <n v="7.0299999999999996E-4"/>
  </r>
  <r>
    <x v="18"/>
    <x v="18"/>
    <x v="8"/>
    <x v="3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25"/>
    <s v="Lake"/>
    <n v="10"/>
    <n v="2209249.6887300001"/>
    <n v="626.32113300000003"/>
    <n v="4496.5103300000001"/>
    <n v="4.4970000000000001E-3"/>
  </r>
  <r>
    <x v="7"/>
    <x v="7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5"/>
    <n v="1662601.4959199999"/>
    <n v="310.46952599999997"/>
    <n v="5344.8262050000003"/>
    <n v="5.3449999999999999E-3"/>
  </r>
  <r>
    <x v="23"/>
    <x v="23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8"/>
    <n v="1828937.2124999999"/>
    <n v="451.43324100000001"/>
    <n v="6907.7629809999999"/>
    <n v="6.9080000000000001E-3"/>
  </r>
  <r>
    <x v="6"/>
    <x v="6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2"/>
    <n v="337197.66935500002"/>
    <n v="2480.8818460000002"/>
    <n v="230927.515774"/>
    <n v="0.23092799999999999"/>
  </r>
  <r>
    <x v="7"/>
    <x v="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5"/>
    <n v="1662601.4959199999"/>
    <n v="2850.625755"/>
    <n v="173352.76377300001"/>
    <n v="0.17335300000000001"/>
  </r>
  <r>
    <x v="48"/>
    <x v="4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6"/>
    <n v="369568.60371699999"/>
    <n v="321.642382"/>
    <n v="2972.1662249999999"/>
    <n v="2.9719999999999998E-3"/>
  </r>
  <r>
    <x v="7"/>
    <x v="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5"/>
    <n v="1662601.4959199999"/>
    <n v="1240.085826"/>
    <n v="31205.048060000001"/>
    <n v="3.1205E-2"/>
  </r>
  <r>
    <x v="7"/>
    <x v="7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5"/>
    <n v="1662601.4959199999"/>
    <n v="1054.733729"/>
    <n v="30523.767541000001"/>
    <n v="3.0523999999999999E-2"/>
  </r>
  <r>
    <x v="45"/>
    <x v="45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34"/>
    <n v="445096.22644200001"/>
    <n v="83.690924999999993"/>
    <n v="254.19776100000001"/>
    <n v="2.5399999999999999E-4"/>
  </r>
  <r>
    <x v="25"/>
    <x v="25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20"/>
    <n v="1401826.08345"/>
    <n v="280.79085500000002"/>
    <n v="3454.8193879999999"/>
    <n v="3.4550000000000002E-3"/>
  </r>
  <r>
    <x v="45"/>
    <x v="45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34"/>
    <n v="445096.22644200001"/>
    <n v="791.48099500000001"/>
    <n v="10784.305548"/>
    <n v="1.0784E-2"/>
  </r>
  <r>
    <x v="5"/>
    <x v="5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40"/>
    <n v="938753.97368599998"/>
    <n v="931.39681599999994"/>
    <n v="31049.129684"/>
    <n v="3.1049E-2"/>
  </r>
  <r>
    <x v="7"/>
    <x v="7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5"/>
    <n v="1662601.4959199999"/>
    <n v="56.430529999999997"/>
    <n v="50.314687999999997"/>
    <n v="5.0000000000000002E-5"/>
  </r>
  <r>
    <x v="23"/>
    <x v="23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8"/>
    <n v="1828937.2124999999"/>
    <n v="733.13361199999997"/>
    <n v="13453.548218"/>
    <n v="1.3454000000000001E-2"/>
  </r>
  <r>
    <x v="1"/>
    <x v="1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26"/>
    <n v="583577.16153899999"/>
    <n v="817.51116999999999"/>
    <n v="27153.690287000001"/>
    <n v="2.7154000000000001E-2"/>
  </r>
  <r>
    <x v="23"/>
    <x v="23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8"/>
    <n v="1828937.2124999999"/>
    <n v="978.80619999999999"/>
    <n v="37850.170668999999"/>
    <n v="3.7850000000000002E-2"/>
  </r>
  <r>
    <x v="48"/>
    <x v="48"/>
    <x v="7"/>
    <x v="7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s v="NotLake"/>
    <n v="16"/>
    <n v="369568.60371699999"/>
    <n v="844.41571299999998"/>
    <n v="17184.159083999999"/>
    <n v="1.7184000000000001E-2"/>
  </r>
  <r>
    <x v="41"/>
    <x v="41"/>
    <x v="9"/>
    <x v="9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s v="NotLake"/>
    <n v="0"/>
    <n v="417217.74838200002"/>
    <n v="1324.086908"/>
    <n v="70555.094880000004"/>
    <n v="7.0555000000000007E-2"/>
  </r>
  <r>
    <x v="11"/>
    <x v="11"/>
    <x v="9"/>
    <x v="9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s v="NotLake"/>
    <n v="2"/>
    <n v="2613890.82766"/>
    <n v="1560.6978200000001"/>
    <n v="86407.303801999995"/>
    <n v="8.6406999999999998E-2"/>
  </r>
  <r>
    <x v="11"/>
    <x v="11"/>
    <x v="9"/>
    <x v="3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25"/>
    <s v="Lake"/>
    <n v="2"/>
    <n v="2613890.82766"/>
    <n v="446.989577"/>
    <n v="1719.3927060000001"/>
    <n v="1.719E-3"/>
  </r>
  <r>
    <x v="41"/>
    <x v="41"/>
    <x v="9"/>
    <x v="9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s v="NotLake"/>
    <n v="0"/>
    <n v="417217.74838200002"/>
    <n v="365.35020400000002"/>
    <n v="1108.1710889999999"/>
    <n v="1.108E-3"/>
  </r>
  <r>
    <x v="11"/>
    <x v="11"/>
    <x v="9"/>
    <x v="9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s v="NotLake"/>
    <n v="2"/>
    <n v="2613890.82766"/>
    <n v="1409.126399"/>
    <n v="59845.820444999998"/>
    <n v="5.9846000000000003E-2"/>
  </r>
  <r>
    <x v="11"/>
    <x v="11"/>
    <x v="9"/>
    <x v="3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25"/>
    <s v="Lake"/>
    <n v="2"/>
    <n v="2613890.82766"/>
    <n v="19.677326000000001"/>
    <n v="5.0352990000000002"/>
    <n v="5.0000000000000004E-6"/>
  </r>
  <r>
    <x v="42"/>
    <x v="42"/>
    <x v="9"/>
    <x v="9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s v="NotLake"/>
    <n v="3"/>
    <n v="254467.18734500001"/>
    <n v="966.40682200000003"/>
    <n v="29920.668527000002"/>
    <n v="2.9921E-2"/>
  </r>
  <r>
    <x v="17"/>
    <x v="17"/>
    <x v="9"/>
    <x v="9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s v="NotLake"/>
    <n v="9"/>
    <n v="2223666.1798299998"/>
    <n v="387.50086499999998"/>
    <n v="7122.5594789999996"/>
    <n v="7.123E-3"/>
  </r>
  <r>
    <x v="34"/>
    <x v="3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0"/>
    <n v="1623010.61307"/>
    <n v="244.286044"/>
    <n v="2335.5661089999999"/>
    <n v="2.336E-3"/>
  </r>
  <r>
    <x v="37"/>
    <x v="37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2"/>
    <n v="1544781.51786"/>
    <n v="602.41994099999999"/>
    <n v="4992.5112429999999"/>
    <n v="4.993E-3"/>
  </r>
  <r>
    <x v="0"/>
    <x v="0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1"/>
    <n v="1152767.33971"/>
    <n v="818.94990399999995"/>
    <n v="18262.246369"/>
    <n v="1.8262E-2"/>
  </r>
  <r>
    <x v="34"/>
    <x v="3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0"/>
    <n v="1623010.61307"/>
    <n v="843.273189"/>
    <n v="6870.6461079999999"/>
    <n v="6.8710000000000004E-3"/>
  </r>
  <r>
    <x v="49"/>
    <x v="49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3"/>
    <n v="284141.21308399999"/>
    <n v="335.94804900000003"/>
    <n v="3938.7089649999998"/>
    <n v="3.9389999999999998E-3"/>
  </r>
  <r>
    <x v="34"/>
    <x v="3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0"/>
    <n v="1623010.61307"/>
    <n v="173.81643"/>
    <n v="1176.794042"/>
    <n v="1.1770000000000001E-3"/>
  </r>
  <r>
    <x v="5"/>
    <x v="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0"/>
    <n v="938753.97368599998"/>
    <n v="7.9742139999999999"/>
    <n v="3.1654529999999999"/>
    <n v="3.0000000000000001E-6"/>
  </r>
  <r>
    <x v="7"/>
    <x v="7"/>
    <x v="5"/>
    <x v="5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161.60371000000001"/>
    <n v="473.22907700000002"/>
    <n v="4.73E-4"/>
  </r>
  <r>
    <x v="7"/>
    <x v="7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5"/>
    <n v="1662601.4959199999"/>
    <n v="119.300915"/>
    <n v="306.72732600000001"/>
    <n v="3.0699999999999998E-4"/>
  </r>
  <r>
    <x v="39"/>
    <x v="39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8"/>
    <n v="499037.49365199998"/>
    <n v="180.70770999999999"/>
    <n v="972.93134999999995"/>
    <n v="9.7300000000000002E-4"/>
  </r>
  <r>
    <x v="19"/>
    <x v="19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11"/>
    <n v="303926.051056"/>
    <n v="390.54815500000001"/>
    <n v="5506.6754460000002"/>
    <n v="5.5069999999999997E-3"/>
  </r>
  <r>
    <x v="5"/>
    <x v="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0"/>
    <n v="938753.97368599998"/>
    <n v="1193.2253330000001"/>
    <n v="38546.840404000002"/>
    <n v="3.8546999999999998E-2"/>
  </r>
  <r>
    <x v="25"/>
    <x v="2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20"/>
    <n v="1401826.08345"/>
    <n v="2011.050518"/>
    <n v="81042.851672999997"/>
    <n v="8.1043000000000004E-2"/>
  </r>
  <r>
    <x v="2"/>
    <x v="2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1"/>
    <n v="243680.39809999999"/>
    <n v="1435.4549099999999"/>
    <n v="49873.051825000002"/>
    <n v="4.9873000000000001E-2"/>
  </r>
  <r>
    <x v="4"/>
    <x v="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6"/>
    <n v="222100.20581799999"/>
    <n v="244.75304399999999"/>
    <n v="830.78147200000001"/>
    <n v="8.3100000000000003E-4"/>
  </r>
  <r>
    <x v="34"/>
    <x v="3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0"/>
    <n v="1623010.61307"/>
    <n v="1963.2499560000001"/>
    <n v="82595.129262999995"/>
    <n v="8.2595000000000002E-2"/>
  </r>
  <r>
    <x v="49"/>
    <x v="49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3"/>
    <n v="284141.21308399999"/>
    <n v="1522.396493"/>
    <n v="34866.036132000001"/>
    <n v="3.4866000000000001E-2"/>
  </r>
  <r>
    <x v="47"/>
    <x v="47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4"/>
    <n v="254468.65062599999"/>
    <n v="82.033878000000001"/>
    <n v="368.85458999999997"/>
    <n v="3.6900000000000002E-4"/>
  </r>
  <r>
    <x v="46"/>
    <x v="46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5"/>
    <n v="340789.19214499998"/>
    <n v="1435.796556"/>
    <n v="42849.283191000002"/>
    <n v="4.2848999999999998E-2"/>
  </r>
  <r>
    <x v="9"/>
    <x v="9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3"/>
    <n v="1010666.12703"/>
    <n v="58.845708999999999"/>
    <n v="120.523692"/>
    <n v="1.21E-4"/>
  </r>
  <r>
    <x v="9"/>
    <x v="9"/>
    <x v="5"/>
    <x v="5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43"/>
    <n v="1010666.12703"/>
    <n v="51.763500000000001"/>
    <n v="22.043752999999999"/>
    <n v="2.1999999999999999E-5"/>
  </r>
  <r>
    <x v="9"/>
    <x v="9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3"/>
    <n v="1010666.12703"/>
    <n v="78.904293999999993"/>
    <n v="103.07537499999999"/>
    <n v="1.03E-4"/>
  </r>
  <r>
    <x v="37"/>
    <x v="37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2"/>
    <n v="1544781.51786"/>
    <n v="100"/>
    <n v="625"/>
    <n v="6.2500000000000001E-4"/>
  </r>
  <r>
    <x v="37"/>
    <x v="37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2"/>
    <n v="1544781.51786"/>
    <n v="158.239912"/>
    <n v="1122.3386399999999"/>
    <n v="1.122E-3"/>
  </r>
  <r>
    <x v="34"/>
    <x v="3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0"/>
    <n v="1623010.61307"/>
    <n v="1143.2744600000001"/>
    <n v="21310.182406"/>
    <n v="2.1309999999999999E-2"/>
  </r>
  <r>
    <x v="37"/>
    <x v="37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2"/>
    <n v="1544781.51786"/>
    <n v="2423.3062"/>
    <n v="69047.736611"/>
    <n v="6.9047999999999998E-2"/>
  </r>
  <r>
    <x v="49"/>
    <x v="49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3"/>
    <n v="284141.21308399999"/>
    <n v="65.499816999999993"/>
    <n v="196.56982400000001"/>
    <n v="1.9699999999999999E-4"/>
  </r>
  <r>
    <x v="47"/>
    <x v="47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4"/>
    <n v="254468.65062599999"/>
    <n v="1296.9887659999999"/>
    <n v="48106.042862000002"/>
    <n v="4.8106000000000003E-2"/>
  </r>
  <r>
    <x v="46"/>
    <x v="46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5"/>
    <n v="340789.19214499998"/>
    <n v="784.70736799999997"/>
    <n v="13891.705098"/>
    <n v="1.3892E-2"/>
  </r>
  <r>
    <x v="39"/>
    <x v="39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8"/>
    <n v="499037.49365199998"/>
    <n v="174.47759300000001"/>
    <n v="751.92279099999996"/>
    <n v="7.5199999999999996E-4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200"/>
    <n v="1875"/>
    <n v="1.8749999999999999E-3"/>
  </r>
  <r>
    <x v="25"/>
    <x v="2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20"/>
    <n v="1401826.08345"/>
    <n v="525.81338400000004"/>
    <n v="7415.4169279999996"/>
    <n v="7.4149999999999997E-3"/>
  </r>
  <r>
    <x v="3"/>
    <x v="3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5"/>
    <n v="212209.53551300001"/>
    <n v="1227.7226989999999"/>
    <n v="48102.562053000001"/>
    <n v="4.8103E-2"/>
  </r>
  <r>
    <x v="4"/>
    <x v="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6"/>
    <n v="222100.20581799999"/>
    <n v="493.26754"/>
    <n v="4588.5285370000001"/>
    <n v="4.5890000000000002E-3"/>
  </r>
  <r>
    <x v="5"/>
    <x v="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0"/>
    <n v="938753.97368599998"/>
    <n v="2077.978118"/>
    <n v="87112.902679999999"/>
    <n v="8.7112999999999996E-2"/>
  </r>
  <r>
    <x v="39"/>
    <x v="39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8"/>
    <n v="499037.49365199998"/>
    <n v="689.85388499999999"/>
    <n v="17851.369148000002"/>
    <n v="1.7850999999999999E-2"/>
  </r>
  <r>
    <x v="1"/>
    <x v="1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26"/>
    <n v="583577.16153899999"/>
    <n v="358.59321199999999"/>
    <n v="1868.1952739999999"/>
    <n v="1.8680000000000001E-3"/>
  </r>
  <r>
    <x v="0"/>
    <x v="0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1"/>
    <n v="1152767.33971"/>
    <n v="1505.5707890000001"/>
    <n v="32605.760238999999"/>
    <n v="3.2606000000000003E-2"/>
  </r>
  <r>
    <x v="2"/>
    <x v="2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1"/>
    <n v="243680.39809999999"/>
    <n v="674.60882000000004"/>
    <n v="18706.712342999999"/>
    <n v="1.8707000000000001E-2"/>
  </r>
  <r>
    <x v="3"/>
    <x v="3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5"/>
    <n v="212209.53551300001"/>
    <n v="559.19352900000001"/>
    <n v="10235.153729"/>
    <n v="1.0234999999999999E-2"/>
  </r>
  <r>
    <x v="4"/>
    <x v="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6"/>
    <n v="222100.20581799999"/>
    <n v="2709.9268269999998"/>
    <n v="142732.75562899999"/>
    <n v="0.142733"/>
  </r>
  <r>
    <x v="5"/>
    <x v="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0"/>
    <n v="938753.97368599998"/>
    <n v="1656.246355"/>
    <n v="74758.503098999994"/>
    <n v="7.4759000000000006E-2"/>
  </r>
  <r>
    <x v="2"/>
    <x v="2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1"/>
    <n v="243680.39809999999"/>
    <n v="282.85482999999999"/>
    <n v="4746.5149629999996"/>
    <n v="4.7470000000000004E-3"/>
  </r>
  <r>
    <x v="5"/>
    <x v="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0"/>
    <n v="938753.97368599998"/>
    <n v="380.84858600000001"/>
    <n v="2700.7396050000002"/>
    <n v="2.7009999999999998E-3"/>
  </r>
  <r>
    <x v="5"/>
    <x v="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0"/>
    <n v="938753.97368599998"/>
    <n v="254.27084600000001"/>
    <n v="1895.7624679999999"/>
    <n v="1.8959999999999999E-3"/>
  </r>
  <r>
    <x v="18"/>
    <x v="18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35.325975"/>
    <n v="74.010447999999997"/>
    <n v="7.3999999999999996E-5"/>
  </r>
  <r>
    <x v="18"/>
    <x v="18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34.782521000000003"/>
    <n v="65.331238999999997"/>
    <n v="6.4999999999999994E-5"/>
  </r>
  <r>
    <x v="5"/>
    <x v="5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0"/>
    <n v="938753.97368599998"/>
    <n v="688.270488"/>
    <n v="6486.8686500000003"/>
    <n v="6.4869999999999997E-3"/>
  </r>
  <r>
    <x v="9"/>
    <x v="9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43"/>
    <n v="1010666.12703"/>
    <n v="49.017071999999999"/>
    <n v="92.673215999999996"/>
    <n v="9.2999999999999997E-5"/>
  </r>
  <r>
    <x v="36"/>
    <x v="36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8"/>
    <n v="403724.58460399997"/>
    <n v="14.344625000000001"/>
    <n v="4.3417539999999999"/>
    <n v="3.9999999999999998E-6"/>
  </r>
  <r>
    <x v="8"/>
    <x v="8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9"/>
    <n v="191522.43302999999"/>
    <n v="13.843394999999999"/>
    <n v="12.124456"/>
    <n v="1.2E-5"/>
  </r>
  <r>
    <x v="8"/>
    <x v="8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9"/>
    <n v="191522.43302999999"/>
    <n v="95.451560999999998"/>
    <n v="597.11209299999996"/>
    <n v="5.9699999999999998E-4"/>
  </r>
  <r>
    <x v="8"/>
    <x v="8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9"/>
    <n v="191522.43302999999"/>
    <n v="92.022963000000004"/>
    <n v="523.39475500000003"/>
    <n v="5.2300000000000003E-4"/>
  </r>
  <r>
    <x v="34"/>
    <x v="34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0"/>
    <n v="1623010.61307"/>
    <n v="388.85249199999998"/>
    <n v="972.59429499999999"/>
    <n v="9.7300000000000002E-4"/>
  </r>
  <r>
    <x v="49"/>
    <x v="49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33"/>
    <n v="284141.21308399999"/>
    <n v="507.23008199999998"/>
    <n v="6155.6603990000003"/>
    <n v="6.156E-3"/>
  </r>
  <r>
    <x v="47"/>
    <x v="47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4"/>
    <n v="254468.65062599999"/>
    <n v="428.16482200000002"/>
    <n v="2031.8670549999999"/>
    <n v="2.032E-3"/>
  </r>
  <r>
    <x v="46"/>
    <x v="46"/>
    <x v="10"/>
    <x v="1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s v="NotLake"/>
    <n v="45"/>
    <n v="340789.19214499998"/>
    <n v="869.79508799999996"/>
    <n v="6530.6007600000003"/>
    <n v="6.5310000000000003E-3"/>
  </r>
  <r>
    <x v="18"/>
    <x v="18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0"/>
    <n v="2209249.6887300001"/>
    <n v="17.159877000000002"/>
    <n v="9.0072539999999996"/>
    <n v="9.0000000000000002E-6"/>
  </r>
  <r>
    <x v="7"/>
    <x v="7"/>
    <x v="5"/>
    <x v="5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25.696968999999999"/>
    <n v="18.724616999999999"/>
    <n v="1.9000000000000001E-5"/>
  </r>
  <r>
    <x v="7"/>
    <x v="7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5"/>
    <n v="1662601.4959199999"/>
    <n v="97.448847999999998"/>
    <n v="177.10072199999999"/>
    <n v="1.7699999999999999E-4"/>
  </r>
  <r>
    <x v="7"/>
    <x v="7"/>
    <x v="5"/>
    <x v="5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1.7087049999999999"/>
    <n v="0.12311"/>
    <n v="0"/>
  </r>
  <r>
    <x v="7"/>
    <x v="7"/>
    <x v="5"/>
    <x v="5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178.5087"/>
    <n v="1302.282048"/>
    <n v="1.302E-3"/>
  </r>
  <r>
    <x v="7"/>
    <x v="7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5"/>
    <n v="1662601.4959199999"/>
    <n v="296.78014300000001"/>
    <n v="1622.219517"/>
    <n v="1.622E-3"/>
  </r>
  <r>
    <x v="7"/>
    <x v="7"/>
    <x v="5"/>
    <x v="5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tLake"/>
    <n v="15"/>
    <n v="1662601.4959199999"/>
    <n v="15.474451999999999"/>
    <n v="10.265159000000001"/>
    <n v="1.0000000000000001E-5"/>
  </r>
  <r>
    <x v="10"/>
    <x v="10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"/>
    <n v="460381.55421099998"/>
    <n v="62.310119999999998"/>
    <n v="96.128353000000004"/>
    <n v="9.6000000000000002E-5"/>
  </r>
  <r>
    <x v="13"/>
    <x v="13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5"/>
    <n v="318309.81075300003"/>
    <n v="116.30502300000001"/>
    <n v="393.34396299999997"/>
    <n v="3.9300000000000001E-4"/>
  </r>
  <r>
    <x v="13"/>
    <x v="13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5"/>
    <n v="318309.81075300003"/>
    <n v="119.846419"/>
    <n v="592.70599700000002"/>
    <n v="5.9299999999999999E-4"/>
  </r>
  <r>
    <x v="14"/>
    <x v="14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6"/>
    <n v="156457.58610099999"/>
    <n v="87.462592000000001"/>
    <n v="94.978412000000006"/>
    <n v="9.5000000000000005E-5"/>
  </r>
  <r>
    <x v="14"/>
    <x v="14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6"/>
    <n v="156457.58610099999"/>
    <n v="61.768155999999998"/>
    <n v="126.801239"/>
    <n v="1.27E-4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50.422324000000003"/>
    <n v="139.82147800000001"/>
    <n v="1.3999999999999999E-4"/>
  </r>
  <r>
    <x v="44"/>
    <x v="4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6"/>
    <n v="513427.38872300001"/>
    <n v="1539.1477170000001"/>
    <n v="32108.805240999998"/>
    <n v="3.2108999999999999E-2"/>
  </r>
  <r>
    <x v="38"/>
    <x v="3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7"/>
    <n v="362365.16101899999"/>
    <n v="1626.595595"/>
    <n v="29921.701385"/>
    <n v="2.9922000000000001E-2"/>
  </r>
  <r>
    <x v="40"/>
    <x v="40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9"/>
    <n v="520619.811216"/>
    <n v="485.14512500000001"/>
    <n v="9467.2930730000007"/>
    <n v="9.4669999999999997E-3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1277.692607"/>
    <n v="13952.466407"/>
    <n v="1.3952000000000001E-2"/>
  </r>
  <r>
    <x v="49"/>
    <x v="4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3"/>
    <n v="284141.21308399999"/>
    <n v="681.60267699999997"/>
    <n v="5462.7250199999999"/>
    <n v="5.463E-3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113.36233"/>
    <n v="507.57705900000002"/>
    <n v="5.0799999999999999E-4"/>
  </r>
  <r>
    <x v="46"/>
    <x v="4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5"/>
    <n v="340789.19214499998"/>
    <n v="774.39678600000002"/>
    <n v="10037.774735999999"/>
    <n v="1.0038E-2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278.203664"/>
    <n v="1281.5733130000001"/>
    <n v="1.2819999999999999E-3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848.89403700000003"/>
    <n v="8977.829232"/>
    <n v="8.9779999999999999E-3"/>
  </r>
  <r>
    <x v="38"/>
    <x v="3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7"/>
    <n v="362365.16101899999"/>
    <n v="765.81185500000004"/>
    <n v="10368.052863999999"/>
    <n v="1.0368E-2"/>
  </r>
  <r>
    <x v="41"/>
    <x v="4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0"/>
    <n v="417217.74838200002"/>
    <n v="2246.1443850000001"/>
    <n v="91845.945940999998"/>
    <n v="9.1845999999999997E-2"/>
  </r>
  <r>
    <x v="6"/>
    <x v="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2"/>
    <n v="337197.66935500002"/>
    <n v="1299.149611"/>
    <n v="76769.197960999998"/>
    <n v="7.6769000000000004E-2"/>
  </r>
  <r>
    <x v="48"/>
    <x v="4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6"/>
    <n v="369568.60371699999"/>
    <n v="972.01155700000004"/>
    <n v="30887.505743999998"/>
    <n v="3.0887999999999999E-2"/>
  </r>
  <r>
    <x v="12"/>
    <x v="1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"/>
    <n v="624933.80375199998"/>
    <n v="1774.5767209999999"/>
    <n v="126156.92972499999"/>
    <n v="0.12615699999999999"/>
  </r>
  <r>
    <x v="15"/>
    <x v="1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7"/>
    <n v="235586.04437799999"/>
    <n v="776.506531"/>
    <n v="24704.843948000002"/>
    <n v="2.4705000000000001E-2"/>
  </r>
  <r>
    <x v="16"/>
    <x v="1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8"/>
    <n v="325505.16677000001"/>
    <n v="2558.502778"/>
    <n v="120821.95677200001"/>
    <n v="0.120822"/>
  </r>
  <r>
    <x v="16"/>
    <x v="16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8"/>
    <n v="325505.16677000001"/>
    <n v="912.33081800000002"/>
    <n v="13169.286174999999"/>
    <n v="1.3169E-2"/>
  </r>
  <r>
    <x v="19"/>
    <x v="1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1"/>
    <n v="303926.051056"/>
    <n v="429.76166699999999"/>
    <n v="5470.5634209999998"/>
    <n v="5.4710000000000002E-3"/>
  </r>
  <r>
    <x v="19"/>
    <x v="1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1"/>
    <n v="303926.051056"/>
    <n v="73.524592999999996"/>
    <n v="221.11884000000001"/>
    <n v="2.2100000000000001E-4"/>
  </r>
  <r>
    <x v="21"/>
    <x v="2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4"/>
    <n v="1941333.5943100001"/>
    <n v="861.40984700000001"/>
    <n v="20935.181509999999"/>
    <n v="2.0934999999999999E-2"/>
  </r>
  <r>
    <x v="21"/>
    <x v="21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4"/>
    <n v="1941333.5943100001"/>
    <n v="618.01258800000005"/>
    <n v="15876.165601999999"/>
    <n v="1.5876000000000001E-2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3422.7405779999999"/>
    <n v="347261.272252"/>
    <n v="0.34726099999999999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2165.354883"/>
    <n v="80137.483319999999"/>
    <n v="8.0137E-2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1413.167653"/>
    <n v="41202.204790000003"/>
    <n v="4.1202000000000003E-2"/>
  </r>
  <r>
    <x v="41"/>
    <x v="4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0"/>
    <n v="417217.74838200002"/>
    <n v="835.73513700000001"/>
    <n v="13862.762645000001"/>
    <n v="1.3863E-2"/>
  </r>
  <r>
    <x v="7"/>
    <x v="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5"/>
    <n v="1662601.4959199999"/>
    <n v="2434.3509429999999"/>
    <n v="257105.78417"/>
    <n v="0.257106"/>
  </r>
  <r>
    <x v="7"/>
    <x v="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5"/>
    <n v="1662601.4959199999"/>
    <n v="883.96181999999999"/>
    <n v="11484.869064"/>
    <n v="1.1485E-2"/>
  </r>
  <r>
    <x v="12"/>
    <x v="1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"/>
    <n v="624933.80375199998"/>
    <n v="1110.421857"/>
    <n v="23574.292975"/>
    <n v="2.3574000000000001E-2"/>
  </r>
  <r>
    <x v="16"/>
    <x v="1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8"/>
    <n v="325505.16677000001"/>
    <n v="415.526634"/>
    <n v="5925.1774750000004"/>
    <n v="5.9249999999999997E-3"/>
  </r>
  <r>
    <x v="19"/>
    <x v="1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1"/>
    <n v="303926.051056"/>
    <n v="1628.810618"/>
    <n v="82329.270562000005"/>
    <n v="8.2328999999999999E-2"/>
  </r>
  <r>
    <x v="21"/>
    <x v="2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4"/>
    <n v="1941333.5943100001"/>
    <n v="297.81808699999999"/>
    <n v="4085.4385860000002"/>
    <n v="4.0850000000000001E-3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2414.984054"/>
    <n v="162581.489306"/>
    <n v="0.162581"/>
  </r>
  <r>
    <x v="25"/>
    <x v="2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0"/>
    <n v="1401826.08345"/>
    <n v="1982.962906"/>
    <n v="47269.541749000004"/>
    <n v="4.727E-2"/>
  </r>
  <r>
    <x v="2"/>
    <x v="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1"/>
    <n v="243680.39809999999"/>
    <n v="2009.2184850000001"/>
    <n v="76607.492572999996"/>
    <n v="7.6606999999999995E-2"/>
  </r>
  <r>
    <x v="4"/>
    <x v="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6"/>
    <n v="222100.20581799999"/>
    <n v="187.98721399999999"/>
    <n v="1605.743213"/>
    <n v="1.606E-3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707.29106100000001"/>
    <n v="4307.3051260000002"/>
    <n v="4.3070000000000001E-3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151.51700700000001"/>
    <n v="153.54947300000001"/>
    <n v="1.54E-4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145.739846"/>
    <n v="764.10983699999997"/>
    <n v="7.6400000000000003E-4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55.594737000000002"/>
    <n v="34.003162000000003"/>
    <n v="3.4E-5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417.57355999999999"/>
    <n v="10059.501552"/>
    <n v="1.0059999999999999E-2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205.77723"/>
    <n v="1092.347998"/>
    <n v="1.0920000000000001E-3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11.787984"/>
    <n v="3.4910589999999999"/>
    <n v="3.0000000000000001E-6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441.32262200000002"/>
    <n v="5767.362478"/>
    <n v="5.7670000000000004E-3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657.44780900000001"/>
    <n v="7149.5141940000003"/>
    <n v="7.1500000000000001E-3"/>
  </r>
  <r>
    <x v="32"/>
    <x v="3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8"/>
    <n v="311110.45064200001"/>
    <n v="164.369305"/>
    <n v="1179.1540769999999"/>
    <n v="1.1789999999999999E-3"/>
  </r>
  <r>
    <x v="43"/>
    <x v="4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7"/>
    <n v="155554.77942400001"/>
    <n v="699.75437499999998"/>
    <n v="33762.658409999996"/>
    <n v="3.3763000000000001E-2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170.351291"/>
    <n v="819.39667399999996"/>
    <n v="8.1899999999999996E-4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244.066192"/>
    <n v="931.96865300000002"/>
    <n v="9.3199999999999999E-4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765.79933900000003"/>
    <n v="27171.643263000002"/>
    <n v="2.7172000000000002E-2"/>
  </r>
  <r>
    <x v="32"/>
    <x v="3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8"/>
    <n v="311110.45064200001"/>
    <n v="331.16356300000001"/>
    <n v="4752.1503679999996"/>
    <n v="4.7520000000000001E-3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160.011033"/>
    <n v="381.65514999999999"/>
    <n v="3.8200000000000002E-4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30.485645999999999"/>
    <n v="28.861988"/>
    <n v="2.9E-5"/>
  </r>
  <r>
    <x v="27"/>
    <x v="2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2"/>
    <n v="811054.57942700002"/>
    <n v="1114.3326689999999"/>
    <n v="29150.653055999999"/>
    <n v="2.9151E-2"/>
  </r>
  <r>
    <x v="27"/>
    <x v="2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22"/>
    <n v="811054.57942700002"/>
    <n v="111.52939600000001"/>
    <n v="216.571831"/>
    <n v="2.1699999999999999E-4"/>
  </r>
  <r>
    <x v="29"/>
    <x v="2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4"/>
    <n v="133978.16968799999"/>
    <n v="16.892365999999999"/>
    <n v="11.540412999999999"/>
    <n v="1.2E-5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5387.1560159999999"/>
    <n v="425387.71790300001"/>
    <n v="0.42538799999999999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832.76232500000003"/>
    <n v="2367.0742770000002"/>
    <n v="2.3670000000000002E-3"/>
  </r>
  <r>
    <x v="49"/>
    <x v="4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3"/>
    <n v="284141.21308399999"/>
    <n v="2454.3741439999999"/>
    <n v="104608.063446"/>
    <n v="0.10460800000000001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425.13497699999999"/>
    <n v="3157.5092209999998"/>
    <n v="3.1580000000000002E-3"/>
  </r>
  <r>
    <x v="47"/>
    <x v="4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4"/>
    <n v="254468.65062599999"/>
    <n v="471.88186200000001"/>
    <n v="7064.9319370000003"/>
    <n v="7.0650000000000001E-3"/>
  </r>
  <r>
    <x v="46"/>
    <x v="4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5"/>
    <n v="340789.19214499998"/>
    <n v="2986.6830989999999"/>
    <n v="152378.75079399999"/>
    <n v="0.15237899999999999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2899.016091"/>
    <n v="70196.928071999995"/>
    <n v="7.0196999999999996E-2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71.89403800000002"/>
    <n v="832.49310800000001"/>
    <n v="8.3199999999999995E-4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1740.858262"/>
    <n v="111449.944281"/>
    <n v="0.11144999999999999"/>
  </r>
  <r>
    <x v="36"/>
    <x v="36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8"/>
    <n v="403724.58460399997"/>
    <n v="479.99046199999998"/>
    <n v="2003.4963990000001"/>
    <n v="2.003E-3"/>
  </r>
  <r>
    <x v="8"/>
    <x v="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9"/>
    <n v="191522.43302999999"/>
    <n v="1650.3331149999999"/>
    <n v="55061.267017999999"/>
    <n v="5.5060999999999999E-2"/>
  </r>
  <r>
    <x v="8"/>
    <x v="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9"/>
    <n v="191522.43302999999"/>
    <n v="904.69487500000002"/>
    <n v="4500.1148009999997"/>
    <n v="4.4999999999999997E-3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9731.9925239999993"/>
    <n v="670944.34595999995"/>
    <n v="0.67094399999999998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845.97442699999999"/>
    <n v="5587.8234640000001"/>
    <n v="5.5880000000000001E-3"/>
  </r>
  <r>
    <x v="9"/>
    <x v="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3"/>
    <n v="1010666.12703"/>
    <n v="5662.7944630000002"/>
    <n v="508640.61094799999"/>
    <n v="0.50864100000000001"/>
  </r>
  <r>
    <x v="9"/>
    <x v="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3"/>
    <n v="1010666.12703"/>
    <n v="2589.6801869999999"/>
    <n v="20993.559494000001"/>
    <n v="2.0993999999999999E-2"/>
  </r>
  <r>
    <x v="44"/>
    <x v="4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6"/>
    <n v="513427.38872300001"/>
    <n v="2608.5995189999999"/>
    <n v="168221.07238500001"/>
    <n v="0.16822100000000001"/>
  </r>
  <r>
    <x v="43"/>
    <x v="4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7"/>
    <n v="155554.77942400001"/>
    <n v="487.21280000000002"/>
    <n v="4248.2782870000001"/>
    <n v="4.248E-3"/>
  </r>
  <r>
    <x v="43"/>
    <x v="4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7"/>
    <n v="155554.77942400001"/>
    <n v="82.949074999999993"/>
    <n v="204.50628699999999"/>
    <n v="2.05E-4"/>
  </r>
  <r>
    <x v="43"/>
    <x v="4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7"/>
    <n v="155554.77942400001"/>
    <n v="240.912587"/>
    <n v="1402.1095600000001"/>
    <n v="1.402E-3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405.64944800000001"/>
    <n v="5560.7448450000002"/>
    <n v="5.561E-3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1492.501047"/>
    <n v="89379.105341999995"/>
    <n v="8.9379E-2"/>
  </r>
  <r>
    <x v="8"/>
    <x v="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9"/>
    <n v="191522.43302999999"/>
    <n v="832.223299"/>
    <n v="18624.725840999999"/>
    <n v="1.8624999999999999E-2"/>
  </r>
  <r>
    <x v="9"/>
    <x v="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3"/>
    <n v="1010666.12703"/>
    <n v="1233.3621370000001"/>
    <n v="54101.579061999997"/>
    <n v="5.4101999999999997E-2"/>
  </r>
  <r>
    <x v="32"/>
    <x v="3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8"/>
    <n v="311110.45064200001"/>
    <n v="3.224027"/>
    <n v="0.42126200000000003"/>
    <n v="0"/>
  </r>
  <r>
    <x v="32"/>
    <x v="3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8"/>
    <n v="311110.45064200001"/>
    <n v="191.578901"/>
    <n v="451.81043299999999"/>
    <n v="4.5199999999999998E-4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244.57094799999999"/>
    <n v="1544.0554070000001"/>
    <n v="1.544E-3"/>
  </r>
  <r>
    <x v="32"/>
    <x v="3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8"/>
    <n v="311110.45064200001"/>
    <n v="296.20037100000002"/>
    <n v="3398.77243"/>
    <n v="3.3990000000000001E-3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569.26267800000005"/>
    <n v="13477.654028999999"/>
    <n v="1.3478E-2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934.48635000000002"/>
    <n v="40454.556538999997"/>
    <n v="4.0454999999999998E-2"/>
  </r>
  <r>
    <x v="47"/>
    <x v="4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4"/>
    <n v="254468.65062599999"/>
    <n v="657.90973199999996"/>
    <n v="13208.171656"/>
    <n v="1.3207999999999999E-2"/>
  </r>
  <r>
    <x v="46"/>
    <x v="4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5"/>
    <n v="340789.19214499998"/>
    <n v="1016.159798"/>
    <n v="18082.520457999999"/>
    <n v="1.8082999999999998E-2"/>
  </r>
  <r>
    <x v="9"/>
    <x v="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3"/>
    <n v="1010666.12703"/>
    <n v="1307.8900430000001"/>
    <n v="30876.154397999999"/>
    <n v="3.0876000000000001E-2"/>
  </r>
  <r>
    <x v="38"/>
    <x v="3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7"/>
    <n v="362365.16101899999"/>
    <n v="2063.407103"/>
    <n v="47805.177681000001"/>
    <n v="4.7805E-2"/>
  </r>
  <r>
    <x v="39"/>
    <x v="3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8"/>
    <n v="499037.49365199998"/>
    <n v="1667.8361629999999"/>
    <n v="28241.20336"/>
    <n v="2.8240999999999999E-2"/>
  </r>
  <r>
    <x v="46"/>
    <x v="4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5"/>
    <n v="340789.19214499998"/>
    <n v="750.49334399999998"/>
    <n v="11845.499648000001"/>
    <n v="1.1846000000000001E-2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495.64122400000002"/>
    <n v="10774.53333"/>
    <n v="1.0775E-2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1801.241773"/>
    <n v="106623.016298"/>
    <n v="0.106623"/>
  </r>
  <r>
    <x v="46"/>
    <x v="4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5"/>
    <n v="340789.19214499998"/>
    <n v="1236.6962269999999"/>
    <n v="14915.714819000001"/>
    <n v="1.4916E-2"/>
  </r>
  <r>
    <x v="44"/>
    <x v="4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6"/>
    <n v="513427.38872300001"/>
    <n v="435.82115599999997"/>
    <n v="6839.7583839999998"/>
    <n v="6.8399999999999997E-3"/>
  </r>
  <r>
    <x v="44"/>
    <x v="4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6"/>
    <n v="513427.38872300001"/>
    <n v="1804.2570209999999"/>
    <n v="69692.646236999994"/>
    <n v="6.9693000000000005E-2"/>
  </r>
  <r>
    <x v="40"/>
    <x v="40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9"/>
    <n v="520619.811216"/>
    <n v="1441.9683219999999"/>
    <n v="64491.891573000001"/>
    <n v="6.4491999999999994E-2"/>
  </r>
  <r>
    <x v="23"/>
    <x v="2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8"/>
    <n v="1828937.2124999999"/>
    <n v="1590.8667829999999"/>
    <n v="49366.052482999999"/>
    <n v="4.9366E-2"/>
  </r>
  <r>
    <x v="25"/>
    <x v="2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0"/>
    <n v="1401826.08345"/>
    <n v="1543.3917349999999"/>
    <n v="109407.991175"/>
    <n v="0.10940800000000001"/>
  </r>
  <r>
    <x v="1"/>
    <x v="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6"/>
    <n v="583577.16153899999"/>
    <n v="1564.9658159999999"/>
    <n v="62571.117069"/>
    <n v="6.2571000000000002E-2"/>
  </r>
  <r>
    <x v="2"/>
    <x v="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1"/>
    <n v="243680.39809999999"/>
    <n v="1387.86445"/>
    <n v="54819.984288"/>
    <n v="5.4820000000000001E-2"/>
  </r>
  <r>
    <x v="3"/>
    <x v="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5"/>
    <n v="212209.53551300001"/>
    <n v="1634.6335140000001"/>
    <n v="32171.576592000001"/>
    <n v="3.2171999999999999E-2"/>
  </r>
  <r>
    <x v="4"/>
    <x v="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6"/>
    <n v="222100.20581799999"/>
    <n v="733.62680799999998"/>
    <n v="13822.831882"/>
    <n v="1.3823E-2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36.650922000000001"/>
    <n v="47.275889999999997"/>
    <n v="4.6999999999999997E-5"/>
  </r>
  <r>
    <x v="6"/>
    <x v="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2"/>
    <n v="337197.66935500002"/>
    <n v="868.89898300000004"/>
    <n v="14212.828681000001"/>
    <n v="1.4213E-2"/>
  </r>
  <r>
    <x v="39"/>
    <x v="3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8"/>
    <n v="499037.49365199998"/>
    <n v="880.64929800000004"/>
    <n v="12002.303655"/>
    <n v="1.2002000000000001E-2"/>
  </r>
  <r>
    <x v="1"/>
    <x v="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6"/>
    <n v="583577.16153899999"/>
    <n v="490.01207900000003"/>
    <n v="8015.3953309999997"/>
    <n v="8.0149999999999996E-3"/>
  </r>
  <r>
    <x v="0"/>
    <x v="0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1"/>
    <n v="1152767.33971"/>
    <n v="1513.9940079999999"/>
    <n v="47822.207060000001"/>
    <n v="4.7822000000000003E-2"/>
  </r>
  <r>
    <x v="2"/>
    <x v="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1"/>
    <n v="243680.39809999999"/>
    <n v="549.85027000000002"/>
    <n v="8302.1515350000009"/>
    <n v="8.3020000000000004E-3"/>
  </r>
  <r>
    <x v="3"/>
    <x v="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5"/>
    <n v="212209.53551300001"/>
    <n v="30.806104999999999"/>
    <n v="57.967202"/>
    <n v="5.8E-5"/>
  </r>
  <r>
    <x v="4"/>
    <x v="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6"/>
    <n v="222100.20581799999"/>
    <n v="1072.7541470000001"/>
    <n v="32392.179852000001"/>
    <n v="3.2391999999999997E-2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1086.150263"/>
    <n v="39717.877609000003"/>
    <n v="3.9718000000000003E-2"/>
  </r>
  <r>
    <x v="2"/>
    <x v="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1"/>
    <n v="243680.39809999999"/>
    <n v="369.784065"/>
    <n v="2753.320201"/>
    <n v="2.7529999999999998E-3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88.645764999999997"/>
    <n v="420.72415899999999"/>
    <n v="4.2099999999999999E-4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1512.7090330000001"/>
    <n v="43548.486322999997"/>
    <n v="4.3548000000000003E-2"/>
  </r>
  <r>
    <x v="11"/>
    <x v="1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"/>
    <n v="2613890.82766"/>
    <n v="379.03631000000001"/>
    <n v="4975.150971"/>
    <n v="4.9750000000000003E-3"/>
  </r>
  <r>
    <x v="11"/>
    <x v="11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2"/>
    <n v="2613890.82766"/>
    <n v="540.02375300000006"/>
    <n v="12345.539142"/>
    <n v="1.2345999999999999E-2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2701.6776970000001"/>
    <n v="219159.84683200001"/>
    <n v="0.21915999999999999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1546.425336"/>
    <n v="24628.179684999999"/>
    <n v="2.4628000000000001E-2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72.423316"/>
    <n v="181.78547399999999"/>
    <n v="1.8200000000000001E-4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181.216251"/>
    <n v="1005.193203"/>
    <n v="1.005E-3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704.71234200000004"/>
    <n v="9898.1685409999991"/>
    <n v="9.8980000000000005E-3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234.67046400000001"/>
    <n v="1517.0874160000001"/>
    <n v="1.5169999999999999E-3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10.203132999999999"/>
    <n v="1.271936"/>
    <n v="9.9999999999999995E-7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1306.1653269999999"/>
    <n v="15259.214766999999"/>
    <n v="1.5259E-2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1448.09393"/>
    <n v="18240.633828999999"/>
    <n v="1.8241E-2"/>
  </r>
  <r>
    <x v="11"/>
    <x v="11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2"/>
    <n v="2613890.82766"/>
    <n v="293.74528600000002"/>
    <n v="2766.0494039999999"/>
    <n v="2.7659999999999998E-3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217.04683700000001"/>
    <n v="729.89531799999997"/>
    <n v="7.2999999999999996E-4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558.68968199999995"/>
    <n v="5048.7981879999998"/>
    <n v="5.0489999999999997E-3"/>
  </r>
  <r>
    <x v="44"/>
    <x v="4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6"/>
    <n v="513427.38872300001"/>
    <n v="73.899511000000004"/>
    <n v="94.334609999999998"/>
    <n v="9.3999999999999994E-5"/>
  </r>
  <r>
    <x v="38"/>
    <x v="3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7"/>
    <n v="362365.16101899999"/>
    <n v="99.763245999999995"/>
    <n v="353.10221799999999"/>
    <n v="3.5300000000000002E-4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434.66807599999999"/>
    <n v="2478.4191000000001"/>
    <n v="2.4780000000000002E-3"/>
  </r>
  <r>
    <x v="5"/>
    <x v="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0"/>
    <n v="938753.97368599998"/>
    <n v="896.50558000000001"/>
    <n v="7963.4274210000003"/>
    <n v="7.9629999999999996E-3"/>
  </r>
  <r>
    <x v="0"/>
    <x v="0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1"/>
    <n v="1152767.33971"/>
    <n v="210.55660599999999"/>
    <n v="1786.4574239999999"/>
    <n v="1.786E-3"/>
  </r>
  <r>
    <x v="9"/>
    <x v="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3"/>
    <n v="1010666.12703"/>
    <n v="6.6152810000000004"/>
    <n v="0.90218600000000004"/>
    <n v="9.9999999999999995E-7"/>
  </r>
  <r>
    <x v="9"/>
    <x v="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3"/>
    <n v="1010666.12703"/>
    <n v="27.061989000000001"/>
    <n v="14.49818"/>
    <n v="1.4E-5"/>
  </r>
  <r>
    <x v="9"/>
    <x v="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3"/>
    <n v="1010666.12703"/>
    <n v="57.727314"/>
    <n v="75.340334999999996"/>
    <n v="7.4999999999999993E-5"/>
  </r>
  <r>
    <x v="9"/>
    <x v="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3"/>
    <n v="1010666.12703"/>
    <n v="55.837651999999999"/>
    <n v="52.593783000000002"/>
    <n v="5.3000000000000001E-5"/>
  </r>
  <r>
    <x v="9"/>
    <x v="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3"/>
    <n v="1010666.12703"/>
    <n v="140.168654"/>
    <n v="561.01433999999995"/>
    <n v="5.6099999999999998E-4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2.1889720000000001"/>
    <n v="0.16314899999999999"/>
    <n v="0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150.27768"/>
    <n v="352.94495799999999"/>
    <n v="3.5300000000000002E-4"/>
  </r>
  <r>
    <x v="0"/>
    <x v="0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1"/>
    <n v="1152767.33971"/>
    <n v="592.401207"/>
    <n v="5267.5240519999998"/>
    <n v="5.2680000000000001E-3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969.35048200000006"/>
    <n v="9785.2956780000004"/>
    <n v="9.7850000000000003E-3"/>
  </r>
  <r>
    <x v="8"/>
    <x v="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9"/>
    <n v="191522.43302999999"/>
    <n v="268.45044300000001"/>
    <n v="2331.1538730000002"/>
    <n v="2.3310000000000002E-3"/>
  </r>
  <r>
    <x v="9"/>
    <x v="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3"/>
    <n v="1010666.12703"/>
    <n v="2214.5899960000002"/>
    <n v="19691.290622"/>
    <n v="1.9691E-2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3.3456760000000001"/>
    <n v="0.26321699999999998"/>
    <n v="0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128.83099200000001"/>
    <n v="344.53141099999999"/>
    <n v="3.4499999999999998E-4"/>
  </r>
  <r>
    <x v="43"/>
    <x v="4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7"/>
    <n v="155554.77942400001"/>
    <n v="191.17938799999999"/>
    <n v="812.14034400000003"/>
    <n v="8.12E-4"/>
  </r>
  <r>
    <x v="35"/>
    <x v="35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2"/>
    <n v="66538.247600000002"/>
    <n v="71.835203000000007"/>
    <n v="133.58779000000001"/>
    <n v="1.34E-4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131.651487"/>
    <n v="312.88787400000001"/>
    <n v="3.1300000000000002E-4"/>
  </r>
  <r>
    <x v="36"/>
    <x v="36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8"/>
    <n v="403724.58460399997"/>
    <n v="598.29605900000001"/>
    <n v="5740.7942929999999"/>
    <n v="5.7409999999999996E-3"/>
  </r>
  <r>
    <x v="8"/>
    <x v="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9"/>
    <n v="191522.43302999999"/>
    <n v="102.380955"/>
    <n v="222.34537900000001"/>
    <n v="2.22E-4"/>
  </r>
  <r>
    <x v="8"/>
    <x v="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9"/>
    <n v="191522.43302999999"/>
    <n v="935.07552999999996"/>
    <n v="6952.7852030000004"/>
    <n v="6.953E-3"/>
  </r>
  <r>
    <x v="32"/>
    <x v="3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8"/>
    <n v="311110.45064200001"/>
    <n v="716.54372499999999"/>
    <n v="8867.8650390000003"/>
    <n v="8.8679999999999991E-3"/>
  </r>
  <r>
    <x v="43"/>
    <x v="4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7"/>
    <n v="155554.77942400001"/>
    <n v="1259.2598439999999"/>
    <n v="60650.496132"/>
    <n v="6.0650999999999997E-2"/>
  </r>
  <r>
    <x v="36"/>
    <x v="3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8"/>
    <n v="403724.58460399997"/>
    <n v="2522.5797619999998"/>
    <n v="57880.654797000003"/>
    <n v="5.7881000000000002E-2"/>
  </r>
  <r>
    <x v="32"/>
    <x v="3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8"/>
    <n v="311110.45064200001"/>
    <n v="103.732846"/>
    <n v="282.94033300000001"/>
    <n v="2.8299999999999999E-4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2832.1757349999998"/>
    <n v="12438.768497999999"/>
    <n v="1.2439E-2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81.07572800000003"/>
    <n v="816.93040900000005"/>
    <n v="8.1700000000000002E-4"/>
  </r>
  <r>
    <x v="49"/>
    <x v="4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3"/>
    <n v="284141.21308399999"/>
    <n v="233.25588999999999"/>
    <n v="2494.9358630000002"/>
    <n v="2.4949999999999998E-3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2322.1980389999999"/>
    <n v="19029.364057999999"/>
    <n v="1.9029000000000001E-2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189.51660699999999"/>
    <n v="1067.433194"/>
    <n v="1.067E-3"/>
  </r>
  <r>
    <x v="47"/>
    <x v="4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4"/>
    <n v="254468.65062599999"/>
    <n v="638.34703400000001"/>
    <n v="6885.8543259999997"/>
    <n v="6.8859999999999998E-3"/>
  </r>
  <r>
    <x v="46"/>
    <x v="4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5"/>
    <n v="340789.19214499998"/>
    <n v="3038.0305410000001"/>
    <n v="43370.215800999998"/>
    <n v="4.3369999999999999E-2"/>
  </r>
  <r>
    <x v="44"/>
    <x v="4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6"/>
    <n v="513427.38872300001"/>
    <n v="1570.265463"/>
    <n v="16489.897240999999"/>
    <n v="1.6490000000000001E-2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103.652801"/>
    <n v="191.316303"/>
    <n v="1.9100000000000001E-4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44.168182"/>
    <n v="1662.2003629999999"/>
    <n v="1.6620000000000001E-3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78.434329000000005"/>
    <n v="69.753926000000007"/>
    <n v="6.9999999999999994E-5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31.157398"/>
    <n v="554.45595100000003"/>
    <n v="5.5400000000000002E-4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63.11354"/>
    <n v="89.216841000000002"/>
    <n v="8.8999999999999995E-5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39.005051000000002"/>
    <n v="45.674069000000003"/>
    <n v="4.6E-5"/>
  </r>
  <r>
    <x v="23"/>
    <x v="2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8"/>
    <n v="1828937.2124999999"/>
    <n v="1138.989002"/>
    <n v="43988.229994000001"/>
    <n v="4.3987999999999999E-2"/>
  </r>
  <r>
    <x v="25"/>
    <x v="25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0"/>
    <n v="1401826.08345"/>
    <n v="359.23155400000002"/>
    <n v="3537.8079779999998"/>
    <n v="3.5379999999999999E-3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3269.8684450000001"/>
    <n v="54964.612193000001"/>
    <n v="5.4965E-2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214.60898399999999"/>
    <n v="858.251397"/>
    <n v="8.5800000000000004E-4"/>
  </r>
  <r>
    <x v="32"/>
    <x v="3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8"/>
    <n v="311110.45064200001"/>
    <n v="536.17417799999998"/>
    <n v="9341.0514669999993"/>
    <n v="9.3410000000000003E-3"/>
  </r>
  <r>
    <x v="7"/>
    <x v="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5"/>
    <n v="1662601.4959199999"/>
    <n v="530.32077800000002"/>
    <n v="4780.0186919999996"/>
    <n v="4.7800000000000004E-3"/>
  </r>
  <r>
    <x v="7"/>
    <x v="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5"/>
    <n v="1662601.4959199999"/>
    <n v="200.189009"/>
    <n v="230.382091"/>
    <n v="2.3000000000000001E-4"/>
  </r>
  <r>
    <x v="7"/>
    <x v="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5"/>
    <n v="1662601.4959199999"/>
    <n v="69.916666000000006"/>
    <n v="18.725711"/>
    <n v="1.9000000000000001E-5"/>
  </r>
  <r>
    <x v="7"/>
    <x v="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5"/>
    <n v="1662601.4959199999"/>
    <n v="309.18476500000003"/>
    <n v="2160.1086479999999"/>
    <n v="2.16E-3"/>
  </r>
  <r>
    <x v="7"/>
    <x v="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5"/>
    <n v="1662601.4959199999"/>
    <n v="147.29959199999999"/>
    <n v="435.366468"/>
    <n v="4.35E-4"/>
  </r>
  <r>
    <x v="6"/>
    <x v="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2"/>
    <n v="337197.66935500002"/>
    <n v="455.36801500000001"/>
    <n v="7409.6513450000002"/>
    <n v="7.4099999999999999E-3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50.960307"/>
    <n v="13.953010000000001"/>
    <n v="1.4E-5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496.90874300000002"/>
    <n v="2910.0689560000001"/>
    <n v="2.9099999999999998E-3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75.922821999999996"/>
    <n v="13.128856000000001"/>
    <n v="1.2999999999999999E-5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215.53774300000001"/>
    <n v="817.46072900000001"/>
    <n v="8.1700000000000002E-4"/>
  </r>
  <r>
    <x v="7"/>
    <x v="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5"/>
    <n v="1662601.4959199999"/>
    <n v="45.783259000000001"/>
    <n v="112.400173"/>
    <n v="1.12E-4"/>
  </r>
  <r>
    <x v="16"/>
    <x v="1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8"/>
    <n v="325505.16677000001"/>
    <n v="42.166846999999997"/>
    <n v="32.498533000000002"/>
    <n v="3.1999999999999999E-5"/>
  </r>
  <r>
    <x v="16"/>
    <x v="16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8"/>
    <n v="325505.16677000001"/>
    <n v="56.662717999999998"/>
    <n v="106.67015000000001"/>
    <n v="1.07E-4"/>
  </r>
  <r>
    <x v="21"/>
    <x v="21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4"/>
    <n v="1941333.5943100001"/>
    <n v="15.102492"/>
    <n v="5.103059"/>
    <n v="5.0000000000000004E-6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105.409567"/>
    <n v="211.224794"/>
    <n v="2.1100000000000001E-4"/>
  </r>
  <r>
    <x v="16"/>
    <x v="16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8"/>
    <n v="325505.16677000001"/>
    <n v="247.975967"/>
    <n v="297.44851499999999"/>
    <n v="2.9700000000000001E-4"/>
  </r>
  <r>
    <x v="16"/>
    <x v="16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8"/>
    <n v="325505.16677000001"/>
    <n v="10.521039"/>
    <n v="5.0664040000000004"/>
    <n v="5.0000000000000004E-6"/>
  </r>
  <r>
    <x v="21"/>
    <x v="21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4"/>
    <n v="1941333.5943100001"/>
    <n v="64.582003"/>
    <n v="186.42594500000001"/>
    <n v="1.8599999999999999E-4"/>
  </r>
  <r>
    <x v="6"/>
    <x v="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2"/>
    <n v="337197.66935500002"/>
    <n v="260.73923400000001"/>
    <n v="3288.2432079999999"/>
    <n v="3.2880000000000001E-3"/>
  </r>
  <r>
    <x v="11"/>
    <x v="11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2"/>
    <n v="2613890.82766"/>
    <n v="80.888208000000006"/>
    <n v="64.532421999999997"/>
    <n v="6.4999999999999994E-5"/>
  </r>
  <r>
    <x v="18"/>
    <x v="18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0"/>
    <n v="2209249.6887300001"/>
    <n v="6400.2585209999997"/>
    <n v="114868.251752"/>
    <n v="0.114868"/>
  </r>
  <r>
    <x v="1"/>
    <x v="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6"/>
    <n v="583577.16153899999"/>
    <n v="416.92047200000002"/>
    <n v="1669.6889940000001"/>
    <n v="1.67E-3"/>
  </r>
  <r>
    <x v="0"/>
    <x v="0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1"/>
    <n v="1152767.33971"/>
    <n v="500.30774100000002"/>
    <n v="4655.9131209999996"/>
    <n v="4.6560000000000004E-3"/>
  </r>
  <r>
    <x v="12"/>
    <x v="1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"/>
    <n v="624933.80375199998"/>
    <n v="894.23932000000002"/>
    <n v="8020.2056549999998"/>
    <n v="8.0199999999999994E-3"/>
  </r>
  <r>
    <x v="16"/>
    <x v="16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8"/>
    <n v="325505.16677000001"/>
    <n v="544.02298900000005"/>
    <n v="15916.450954"/>
    <n v="1.5916E-2"/>
  </r>
  <r>
    <x v="19"/>
    <x v="1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1"/>
    <n v="303926.051056"/>
    <n v="2742.1167989999999"/>
    <n v="148429.41224000001"/>
    <n v="0.14842900000000001"/>
  </r>
  <r>
    <x v="19"/>
    <x v="1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1"/>
    <n v="303926.051056"/>
    <n v="150.184855"/>
    <n v="399.06105000000002"/>
    <n v="3.9899999999999999E-4"/>
  </r>
  <r>
    <x v="21"/>
    <x v="2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4"/>
    <n v="1941333.5943100001"/>
    <n v="662.50166999999999"/>
    <n v="7508.7366629999997"/>
    <n v="7.509E-3"/>
  </r>
  <r>
    <x v="7"/>
    <x v="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15"/>
    <n v="1662601.4959199999"/>
    <n v="2981.381566"/>
    <n v="169565.378658"/>
    <n v="0.16956499999999999"/>
  </r>
  <r>
    <x v="7"/>
    <x v="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5"/>
    <n v="1662601.4959199999"/>
    <n v="374.11725100000001"/>
    <n v="1041.5801730000001"/>
    <n v="1.042E-3"/>
  </r>
  <r>
    <x v="41"/>
    <x v="4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0"/>
    <n v="417217.74838200002"/>
    <n v="150.66879900000001"/>
    <n v="886.66968399999996"/>
    <n v="8.8699999999999998E-4"/>
  </r>
  <r>
    <x v="41"/>
    <x v="4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0"/>
    <n v="417217.74838200002"/>
    <n v="1646.5333129999999"/>
    <n v="32427.646497999998"/>
    <n v="3.2427999999999998E-2"/>
  </r>
  <r>
    <x v="10"/>
    <x v="10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"/>
    <n v="460381.55421099998"/>
    <n v="38.266866"/>
    <n v="46.142837"/>
    <n v="4.6E-5"/>
  </r>
  <r>
    <x v="11"/>
    <x v="11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2"/>
    <n v="2613890.82766"/>
    <n v="189.049488"/>
    <n v="510.67732100000001"/>
    <n v="5.1099999999999995E-4"/>
  </r>
  <r>
    <x v="42"/>
    <x v="42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"/>
    <n v="254467.18734500001"/>
    <n v="2870.080344"/>
    <n v="128993.838233"/>
    <n v="0.128994"/>
  </r>
  <r>
    <x v="13"/>
    <x v="13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5"/>
    <n v="318309.81075300003"/>
    <n v="2254.6589359999998"/>
    <n v="177903.85248900001"/>
    <n v="0.17790400000000001"/>
  </r>
  <r>
    <x v="13"/>
    <x v="13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5"/>
    <n v="318309.81075300003"/>
    <n v="406.91604599999999"/>
    <n v="2323.0077019999999"/>
    <n v="2.323E-3"/>
  </r>
  <r>
    <x v="14"/>
    <x v="1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6"/>
    <n v="156457.58610099999"/>
    <n v="467.18397900000002"/>
    <n v="6620.0225229999996"/>
    <n v="6.62E-3"/>
  </r>
  <r>
    <x v="14"/>
    <x v="1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6"/>
    <n v="156457.58610099999"/>
    <n v="421.25789400000002"/>
    <n v="3558.9742689999998"/>
    <n v="3.5590000000000001E-3"/>
  </r>
  <r>
    <x v="17"/>
    <x v="1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9"/>
    <n v="2223666.1798299998"/>
    <n v="1546.5204859999999"/>
    <n v="41567.678050000002"/>
    <n v="4.1568000000000001E-2"/>
  </r>
  <r>
    <x v="27"/>
    <x v="2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22"/>
    <n v="811054.57942700002"/>
    <n v="15.794466"/>
    <n v="8.9007079999999998"/>
    <n v="9.0000000000000002E-6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2.140319999999999"/>
    <n v="17.489630999999999"/>
    <n v="1.7E-5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103.603134"/>
    <n v="115.80382"/>
    <n v="1.16E-4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73.627565000000004"/>
    <n v="193.416573"/>
    <n v="1.93E-4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66.505280999999997"/>
    <n v="170.19773900000001"/>
    <n v="1.7000000000000001E-4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58.081395999999998"/>
    <n v="128.35305"/>
    <n v="1.2799999999999999E-4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39.764958"/>
    <n v="55.872169"/>
    <n v="5.5999999999999999E-5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144.74609899999999"/>
    <n v="571.11753499999998"/>
    <n v="5.71E-4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50.490386"/>
    <n v="1044.229092"/>
    <n v="1.044E-3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11.491300000000001"/>
    <n v="6.7020400000000002"/>
    <n v="6.9999999999999999E-6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2.636378000000001"/>
    <n v="15.11842"/>
    <n v="1.5E-5"/>
  </r>
  <r>
    <x v="37"/>
    <x v="37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2"/>
    <n v="1544781.51786"/>
    <n v="6.7422110000000002"/>
    <n v="2.3875989999999998"/>
    <n v="1.9999999999999999E-6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2.6868400000000001"/>
    <n v="0.30822100000000002"/>
    <n v="0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24.230195999999999"/>
    <n v="21.631523999999999"/>
    <n v="2.1999999999999999E-5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44.559649999999998"/>
    <n v="96.997794999999996"/>
    <n v="9.7E-5"/>
  </r>
  <r>
    <x v="9"/>
    <x v="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3"/>
    <n v="1010666.12703"/>
    <n v="117.381732"/>
    <n v="427.30266499999999"/>
    <n v="4.2700000000000002E-4"/>
  </r>
  <r>
    <x v="9"/>
    <x v="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3"/>
    <n v="1010666.12703"/>
    <n v="71.170828999999998"/>
    <n v="186.51864900000001"/>
    <n v="1.8699999999999999E-4"/>
  </r>
  <r>
    <x v="9"/>
    <x v="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3"/>
    <n v="1010666.12703"/>
    <n v="21.792784000000001"/>
    <n v="20.168220000000002"/>
    <n v="2.0000000000000002E-5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21.641456000000002"/>
    <n v="17.207788000000001"/>
    <n v="1.7E-5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57.884374999999999"/>
    <n v="131.17701199999999"/>
    <n v="1.3100000000000001E-4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50.514701000000002"/>
    <n v="51.012258000000003"/>
    <n v="5.1E-5"/>
  </r>
  <r>
    <x v="9"/>
    <x v="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3"/>
    <n v="1010666.12703"/>
    <n v="43.918706"/>
    <n v="88.624307000000002"/>
    <n v="8.8999999999999995E-5"/>
  </r>
  <r>
    <x v="9"/>
    <x v="9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43"/>
    <n v="1010666.12703"/>
    <n v="93.379630000000006"/>
    <n v="320.123107"/>
    <n v="3.2000000000000003E-4"/>
  </r>
  <r>
    <x v="9"/>
    <x v="9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3"/>
    <n v="1010666.12703"/>
    <n v="45.341968999999999"/>
    <n v="67.537200999999996"/>
    <n v="6.7999999999999999E-5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65.567142000000004"/>
    <n v="182.45486"/>
    <n v="1.8200000000000001E-4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35.729765999999998"/>
    <n v="53.986044"/>
    <n v="5.3999999999999998E-5"/>
  </r>
  <r>
    <x v="36"/>
    <x v="36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8"/>
    <n v="403724.58460399997"/>
    <n v="43.548673999999998"/>
    <n v="108.627334"/>
    <n v="1.0900000000000001E-4"/>
  </r>
  <r>
    <x v="8"/>
    <x v="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9"/>
    <n v="191522.43302999999"/>
    <n v="42.472386"/>
    <n v="70.490745000000004"/>
    <n v="6.9999999999999994E-5"/>
  </r>
  <r>
    <x v="8"/>
    <x v="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9"/>
    <n v="191522.43302999999"/>
    <n v="114.62869000000001"/>
    <n v="513.68071399999997"/>
    <n v="5.1400000000000003E-4"/>
  </r>
  <r>
    <x v="8"/>
    <x v="8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9"/>
    <n v="191522.43302999999"/>
    <n v="54.128073999999998"/>
    <n v="136.89155500000001"/>
    <n v="1.37E-4"/>
  </r>
  <r>
    <x v="8"/>
    <x v="8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39"/>
    <n v="191522.43302999999"/>
    <n v="163.28544099999999"/>
    <n v="1015.829204"/>
    <n v="1.016E-3"/>
  </r>
  <r>
    <x v="8"/>
    <x v="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9"/>
    <n v="191522.43302999999"/>
    <n v="33.965679999999999"/>
    <n v="46.095154999999998"/>
    <n v="4.6E-5"/>
  </r>
  <r>
    <x v="8"/>
    <x v="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9"/>
    <n v="191522.43302999999"/>
    <n v="62.131715999999997"/>
    <n v="127.396732"/>
    <n v="1.27E-4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51.828629999999997"/>
    <n v="106.199744"/>
    <n v="1.06E-4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6.468119000000002"/>
    <n v="15.004227"/>
    <n v="1.5E-5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8.122997000000002"/>
    <n v="33.922680999999997"/>
    <n v="3.4E-5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26.618980000000001"/>
    <n v="31.081748999999999"/>
    <n v="3.1000000000000001E-5"/>
  </r>
  <r>
    <x v="37"/>
    <x v="37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42"/>
    <n v="1544781.51786"/>
    <n v="17.746704999999999"/>
    <n v="13.446653"/>
    <n v="1.2999999999999999E-5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11.491300000000001"/>
    <n v="6.7020400000000002"/>
    <n v="6.9999999999999999E-6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48.847479"/>
    <n v="77.607742999999999"/>
    <n v="7.7999999999999999E-5"/>
  </r>
  <r>
    <x v="34"/>
    <x v="34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30"/>
    <n v="1623010.61307"/>
    <n v="257.31887799999998"/>
    <n v="1757.2427210000001"/>
    <n v="1.7570000000000001E-3"/>
  </r>
  <r>
    <x v="34"/>
    <x v="34"/>
    <x v="11"/>
    <x v="11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s v="NotLake"/>
    <n v="30"/>
    <n v="1623010.61307"/>
    <n v="19.258572999999998"/>
    <n v="11.450651000000001"/>
    <n v="1.1E-5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407.33032700000001"/>
    <n v="2097.2945329999998"/>
    <n v="2.0969999999999999E-3"/>
  </r>
  <r>
    <x v="18"/>
    <x v="18"/>
    <x v="11"/>
    <x v="3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25"/>
    <s v="Lake"/>
    <n v="10"/>
    <n v="2209249.6887300001"/>
    <n v="4.4552569999999996"/>
    <n v="0.79252699999999998"/>
    <n v="9.9999999999999995E-7"/>
  </r>
  <r>
    <x v="10"/>
    <x v="10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1"/>
    <n v="460381.55421099998"/>
    <n v="45.199534999999997"/>
    <n v="106.70407299999999"/>
    <n v="1.07E-4"/>
  </r>
  <r>
    <x v="13"/>
    <x v="13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5"/>
    <n v="318309.81075300003"/>
    <n v="9.8869240000000005"/>
    <n v="2.6594139999999999"/>
    <n v="3.0000000000000001E-6"/>
  </r>
  <r>
    <x v="13"/>
    <x v="13"/>
    <x v="5"/>
    <x v="3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s v="Lake"/>
    <n v="5"/>
    <n v="318309.81075300003"/>
    <n v="53.533630000000002"/>
    <n v="78.478566000000001"/>
    <n v="7.7999999999999999E-5"/>
  </r>
  <r>
    <x v="5"/>
    <x v="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0"/>
    <n v="938753.97368599998"/>
    <n v="370.62566199999998"/>
    <n v="3411.6944950000002"/>
    <n v="3.4120000000000001E-3"/>
  </r>
  <r>
    <x v="47"/>
    <x v="4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4"/>
    <n v="254468.65062599999"/>
    <n v="248.339586"/>
    <n v="320.02097199999997"/>
    <n v="3.2000000000000003E-4"/>
  </r>
  <r>
    <x v="46"/>
    <x v="46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5"/>
    <n v="340789.19214499998"/>
    <n v="189.38671600000001"/>
    <n v="1283.577311"/>
    <n v="1.284E-3"/>
  </r>
  <r>
    <x v="5"/>
    <x v="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0"/>
    <n v="938753.97368599998"/>
    <n v="1029.3068310000001"/>
    <n v="1274.1174860000001"/>
    <n v="1.274E-3"/>
  </r>
  <r>
    <x v="5"/>
    <x v="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0"/>
    <n v="938753.97368599998"/>
    <n v="574.64427499999999"/>
    <n v="4783.4145170000002"/>
    <n v="4.7829999999999999E-3"/>
  </r>
  <r>
    <x v="0"/>
    <x v="0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1"/>
    <n v="1152767.33971"/>
    <n v="1411.7742479999999"/>
    <n v="12305.476086000001"/>
    <n v="1.2305E-2"/>
  </r>
  <r>
    <x v="49"/>
    <x v="49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3"/>
    <n v="284141.21308399999"/>
    <n v="336.31569500000001"/>
    <n v="2248.3962419999998"/>
    <n v="2.248E-3"/>
  </r>
  <r>
    <x v="45"/>
    <x v="4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4"/>
    <n v="445096.22644200001"/>
    <n v="189.13838699999999"/>
    <n v="1403.067389"/>
    <n v="1.403E-3"/>
  </r>
  <r>
    <x v="1"/>
    <x v="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6"/>
    <n v="583577.16153899999"/>
    <n v="361.310588"/>
    <n v="5520.1050230000001"/>
    <n v="5.5199999999999997E-3"/>
  </r>
  <r>
    <x v="25"/>
    <x v="2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0"/>
    <n v="1401826.08345"/>
    <n v="1282.8557639999999"/>
    <n v="15319.365781"/>
    <n v="1.5318999999999999E-2"/>
  </r>
  <r>
    <x v="28"/>
    <x v="2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3"/>
    <n v="425314.40753199998"/>
    <n v="942.46505500000001"/>
    <n v="10789.821361"/>
    <n v="1.0789999999999999E-2"/>
  </r>
  <r>
    <x v="45"/>
    <x v="4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4"/>
    <n v="445096.22644200001"/>
    <n v="609.35521100000005"/>
    <n v="6934.609907"/>
    <n v="6.9350000000000002E-3"/>
  </r>
  <r>
    <x v="1"/>
    <x v="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6"/>
    <n v="583577.16153899999"/>
    <n v="350.78563000000003"/>
    <n v="2380.0838779999999"/>
    <n v="2.3800000000000002E-3"/>
  </r>
  <r>
    <x v="0"/>
    <x v="0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1"/>
    <n v="1152767.33971"/>
    <n v="46.550277999999999"/>
    <n v="21.112812000000002"/>
    <n v="2.0999999999999999E-5"/>
  </r>
  <r>
    <x v="27"/>
    <x v="2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2"/>
    <n v="811054.57942700002"/>
    <n v="575.29003599999999"/>
    <n v="1756.8710470000001"/>
    <n v="1.7570000000000001E-3"/>
  </r>
  <r>
    <x v="27"/>
    <x v="27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2"/>
    <n v="811054.57942700002"/>
    <n v="735.283007"/>
    <n v="4045.9226290000001"/>
    <n v="4.0460000000000001E-3"/>
  </r>
  <r>
    <x v="29"/>
    <x v="29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4"/>
    <n v="133978.16968799999"/>
    <n v="103.556156"/>
    <n v="234.17881199999999"/>
    <n v="2.34E-4"/>
  </r>
  <r>
    <x v="34"/>
    <x v="34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30"/>
    <n v="1623010.61307"/>
    <n v="58.541494999999998"/>
    <n v="43.310999000000002"/>
    <n v="4.3000000000000002E-5"/>
  </r>
  <r>
    <x v="34"/>
    <x v="34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30"/>
    <n v="1623010.61307"/>
    <n v="206.760085"/>
    <n v="310.54427099999998"/>
    <n v="3.1100000000000002E-4"/>
  </r>
  <r>
    <x v="28"/>
    <x v="28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3"/>
    <n v="425314.40753199998"/>
    <n v="172.33588499999999"/>
    <n v="749.35102900000004"/>
    <n v="7.4899999999999999E-4"/>
  </r>
  <r>
    <x v="29"/>
    <x v="29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24"/>
    <n v="133978.16968799999"/>
    <n v="145.74722700000001"/>
    <n v="296.61120799999998"/>
    <n v="2.9700000000000001E-4"/>
  </r>
  <r>
    <x v="48"/>
    <x v="4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6"/>
    <n v="369568.60371699999"/>
    <n v="3.351909"/>
    <n v="8.0590999999999996E-2"/>
    <n v="0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92.249052000000006"/>
    <n v="252.13079999999999"/>
    <n v="2.52E-4"/>
  </r>
  <r>
    <x v="18"/>
    <x v="18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0"/>
    <n v="2209249.6887300001"/>
    <n v="252.74391700000001"/>
    <n v="439.93007999999998"/>
    <n v="4.4000000000000002E-4"/>
  </r>
  <r>
    <x v="18"/>
    <x v="18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0"/>
    <n v="2209249.6887300001"/>
    <n v="122.118088"/>
    <n v="469.34766400000001"/>
    <n v="4.6900000000000002E-4"/>
  </r>
  <r>
    <x v="18"/>
    <x v="18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0"/>
    <n v="2209249.6887300001"/>
    <n v="65.809725999999998"/>
    <n v="92.112521999999998"/>
    <n v="9.2E-5"/>
  </r>
  <r>
    <x v="48"/>
    <x v="4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6"/>
    <n v="369568.60371699999"/>
    <n v="1693.381738"/>
    <n v="57426.261860999999"/>
    <n v="5.7425999999999998E-2"/>
  </r>
  <r>
    <x v="1"/>
    <x v="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6"/>
    <n v="583577.16153899999"/>
    <n v="921.99949900000001"/>
    <n v="14112.531738"/>
    <n v="1.4113000000000001E-2"/>
  </r>
  <r>
    <x v="18"/>
    <x v="18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0"/>
    <n v="2209249.6887300001"/>
    <n v="84.085438999999994"/>
    <n v="112.05707700000001"/>
    <n v="1.12E-4"/>
  </r>
  <r>
    <x v="18"/>
    <x v="18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0"/>
    <n v="2209249.6887300001"/>
    <n v="15.4474"/>
    <n v="3.1476690000000001"/>
    <n v="3.0000000000000001E-6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861.06866400000001"/>
    <n v="5661.4104209999996"/>
    <n v="5.6610000000000002E-3"/>
  </r>
  <r>
    <x v="7"/>
    <x v="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5"/>
    <n v="1662601.4959199999"/>
    <n v="1693.471812"/>
    <n v="8764.7731939999994"/>
    <n v="8.7650000000000002E-3"/>
  </r>
  <r>
    <x v="7"/>
    <x v="7"/>
    <x v="6"/>
    <x v="3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25"/>
    <s v="Lake"/>
    <n v="15"/>
    <n v="1662601.4959199999"/>
    <n v="645.82450500000004"/>
    <n v="5347.1101230000004"/>
    <n v="5.3470000000000002E-3"/>
  </r>
  <r>
    <x v="23"/>
    <x v="23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8"/>
    <n v="1828937.2124999999"/>
    <n v="2164.2824609999998"/>
    <n v="27885.673761999999"/>
    <n v="2.7886000000000001E-2"/>
  </r>
  <r>
    <x v="7"/>
    <x v="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5"/>
    <n v="1662601.4959199999"/>
    <n v="220.97496799999999"/>
    <n v="3018.9340390000002"/>
    <n v="3.019E-3"/>
  </r>
  <r>
    <x v="7"/>
    <x v="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5"/>
    <n v="1662601.4959199999"/>
    <n v="6.9039279999999996"/>
    <n v="0.39034799999999997"/>
    <n v="0"/>
  </r>
  <r>
    <x v="7"/>
    <x v="7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5"/>
    <n v="1662601.4959199999"/>
    <n v="553.88513899999998"/>
    <n v="8121.9927669999997"/>
    <n v="8.1220000000000007E-3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174.351258"/>
    <n v="1456.5599790000001"/>
    <n v="1.457E-3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402.70411200000001"/>
    <n v="8041.4420689999997"/>
    <n v="8.0409999999999995E-3"/>
  </r>
  <r>
    <x v="15"/>
    <x v="15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7"/>
    <n v="235586.04437799999"/>
    <n v="7.5146870000000003"/>
    <n v="1.399939"/>
    <n v="9.9999999999999995E-7"/>
  </r>
  <r>
    <x v="18"/>
    <x v="18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10"/>
    <n v="2209249.6887300001"/>
    <n v="197.510119"/>
    <n v="1245.12978"/>
    <n v="1.245E-3"/>
  </r>
  <r>
    <x v="11"/>
    <x v="11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2"/>
    <n v="2613890.82766"/>
    <n v="1394.856532"/>
    <n v="9293.4947499999998"/>
    <n v="9.2929999999999992E-3"/>
  </r>
  <r>
    <x v="12"/>
    <x v="12"/>
    <x v="6"/>
    <x v="6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s v="NotLake"/>
    <n v="4"/>
    <n v="624933.80375199998"/>
    <n v="1862.6767809999999"/>
    <n v="13812.058732"/>
    <n v="1.3812E-2"/>
  </r>
  <r>
    <x v="7"/>
    <x v="7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5"/>
    <n v="1662601.4959199999"/>
    <n v="105.836077"/>
    <n v="174.44963999999999"/>
    <n v="1.74E-4"/>
  </r>
  <r>
    <x v="23"/>
    <x v="23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8"/>
    <n v="1828937.2124999999"/>
    <n v="301.01704100000001"/>
    <n v="355.46767299999999"/>
    <n v="3.5500000000000001E-4"/>
  </r>
  <r>
    <x v="7"/>
    <x v="7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5"/>
    <n v="1662601.4959199999"/>
    <n v="175.814694"/>
    <n v="874.57671000000005"/>
    <n v="8.7500000000000002E-4"/>
  </r>
  <r>
    <x v="23"/>
    <x v="23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8"/>
    <n v="1828937.2124999999"/>
    <n v="286.72619800000001"/>
    <n v="1407.2264090000001"/>
    <n v="1.407E-3"/>
  </r>
  <r>
    <x v="23"/>
    <x v="23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8"/>
    <n v="1828937.2124999999"/>
    <n v="218.82540700000001"/>
    <n v="1269.1055859999999"/>
    <n v="1.2689999999999999E-3"/>
  </r>
  <r>
    <x v="7"/>
    <x v="7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5"/>
    <n v="1662601.4959199999"/>
    <n v="330.41670699999997"/>
    <n v="1303.428214"/>
    <n v="1.3029999999999999E-3"/>
  </r>
  <r>
    <x v="23"/>
    <x v="23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8"/>
    <n v="1828937.2124999999"/>
    <n v="122.624134"/>
    <n v="563.29854899999998"/>
    <n v="5.6300000000000002E-4"/>
  </r>
  <r>
    <x v="7"/>
    <x v="7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5"/>
    <n v="1662601.4959199999"/>
    <n v="951.04031699999996"/>
    <n v="49450.986359000002"/>
    <n v="4.9451000000000002E-2"/>
  </r>
  <r>
    <x v="23"/>
    <x v="23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s v="NotLake"/>
    <n v="18"/>
    <n v="1828937.2124999999"/>
    <n v="489.75186400000001"/>
    <n v="5598.8629039999996"/>
    <n v="5.5989999999999998E-3"/>
  </r>
  <r>
    <x v="7"/>
    <x v="7"/>
    <x v="13"/>
    <x v="13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s v="NotLake"/>
    <n v="15"/>
    <n v="1662601.4959199999"/>
    <n v="313.999256"/>
    <n v="611.01977299999999"/>
    <n v="6.11E-4"/>
  </r>
  <r>
    <x v="48"/>
    <x v="48"/>
    <x v="14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s v="NotLake"/>
    <n v="16"/>
    <n v="369568.60371699999"/>
    <n v="457.25152200000002"/>
    <n v="3828.4064990000002"/>
    <n v="3.8279999999999998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2F82E-2F29-4F6F-8000-E7F1BBCA84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W54" firstHeaderRow="1" firstDataRow="2" firstDataCol="1"/>
  <pivotFields count="14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43"/>
        <item x="13"/>
        <item x="14"/>
        <item x="15"/>
        <item x="44"/>
        <item x="16"/>
        <item x="45"/>
        <item x="17"/>
        <item x="46"/>
        <item x="18"/>
        <item x="19"/>
        <item x="20"/>
        <item x="47"/>
        <item x="21"/>
        <item x="48"/>
        <item x="22"/>
        <item x="49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hape_Area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B3EF8-D60E-4361-8CA2-A163FD8C682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BC57:BT109" firstHeaderRow="1" firstDataRow="2" firstDataCol="2"/>
  <pivotFields count="31">
    <pivotField axis="axisRow" compact="0" outline="0" showAll="0">
      <items count="51">
        <item x="41"/>
        <item x="10"/>
        <item x="11"/>
        <item x="42"/>
        <item x="12"/>
        <item x="13"/>
        <item x="14"/>
        <item x="15"/>
        <item x="16"/>
        <item x="17"/>
        <item x="18"/>
        <item x="19"/>
        <item x="6"/>
        <item x="20"/>
        <item x="21"/>
        <item x="7"/>
        <item x="48"/>
        <item x="22"/>
        <item x="23"/>
        <item x="24"/>
        <item x="25"/>
        <item x="26"/>
        <item x="27"/>
        <item x="28"/>
        <item x="29"/>
        <item x="30"/>
        <item x="1"/>
        <item x="31"/>
        <item x="32"/>
        <item x="33"/>
        <item x="34"/>
        <item x="2"/>
        <item x="35"/>
        <item x="49"/>
        <item x="45"/>
        <item x="3"/>
        <item x="4"/>
        <item x="43"/>
        <item x="36"/>
        <item x="8"/>
        <item x="5"/>
        <item x="0"/>
        <item x="37"/>
        <item x="9"/>
        <item x="47"/>
        <item x="46"/>
        <item x="44"/>
        <item x="38"/>
        <item x="39"/>
        <item x="40"/>
        <item t="default"/>
      </items>
    </pivotField>
    <pivotField axis="axisRow" compact="0" outline="0" showAll="0" defaultSubtotal="0">
      <items count="50">
        <item x="41"/>
        <item x="42"/>
        <item x="11"/>
        <item x="13"/>
        <item x="10"/>
        <item x="14"/>
        <item x="12"/>
        <item x="16"/>
        <item x="15"/>
        <item x="17"/>
        <item x="19"/>
        <item x="6"/>
        <item x="48"/>
        <item x="7"/>
        <item x="21"/>
        <item x="20"/>
        <item x="18"/>
        <item x="1"/>
        <item x="28"/>
        <item x="25"/>
        <item x="4"/>
        <item x="36"/>
        <item x="34"/>
        <item x="45"/>
        <item x="47"/>
        <item x="46"/>
        <item x="49"/>
        <item x="29"/>
        <item x="27"/>
        <item x="5"/>
        <item x="0"/>
        <item x="3"/>
        <item x="2"/>
        <item x="23"/>
        <item x="22"/>
        <item x="24"/>
        <item x="26"/>
        <item x="30"/>
        <item x="31"/>
        <item x="37"/>
        <item x="44"/>
        <item x="40"/>
        <item x="39"/>
        <item x="38"/>
        <item x="9"/>
        <item x="8"/>
        <item x="35"/>
        <item x="33"/>
        <item x="32"/>
        <item x="43"/>
      </items>
    </pivotField>
    <pivotField compact="0" outline="0" showAll="0">
      <items count="16">
        <item x="14"/>
        <item x="6"/>
        <item x="13"/>
        <item x="0"/>
        <item x="12"/>
        <item x="5"/>
        <item x="7"/>
        <item x="1"/>
        <item x="10"/>
        <item x="11"/>
        <item x="2"/>
        <item x="8"/>
        <item x="9"/>
        <item x="4"/>
        <item x="3"/>
        <item t="default"/>
      </items>
    </pivotField>
    <pivotField axis="axisCol" compact="0" outline="0" showAll="0">
      <items count="16">
        <item x="14"/>
        <item x="6"/>
        <item x="13"/>
        <item x="0"/>
        <item x="12"/>
        <item x="5"/>
        <item x="7"/>
        <item x="1"/>
        <item x="10"/>
        <item x="11"/>
        <item x="2"/>
        <item x="8"/>
        <item x="9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"/>
    <field x="0"/>
  </rowFields>
  <rowItems count="51">
    <i>
      <x/>
      <x/>
    </i>
    <i>
      <x v="1"/>
      <x v="3"/>
    </i>
    <i>
      <x v="2"/>
      <x v="2"/>
    </i>
    <i>
      <x v="3"/>
      <x v="5"/>
    </i>
    <i>
      <x v="4"/>
      <x v="1"/>
    </i>
    <i>
      <x v="5"/>
      <x v="6"/>
    </i>
    <i>
      <x v="6"/>
      <x v="4"/>
    </i>
    <i>
      <x v="7"/>
      <x v="8"/>
    </i>
    <i>
      <x v="8"/>
      <x v="7"/>
    </i>
    <i>
      <x v="9"/>
      <x v="9"/>
    </i>
    <i>
      <x v="10"/>
      <x v="11"/>
    </i>
    <i>
      <x v="11"/>
      <x v="12"/>
    </i>
    <i>
      <x v="12"/>
      <x v="16"/>
    </i>
    <i>
      <x v="13"/>
      <x v="15"/>
    </i>
    <i>
      <x v="14"/>
      <x v="14"/>
    </i>
    <i>
      <x v="15"/>
      <x v="13"/>
    </i>
    <i>
      <x v="16"/>
      <x v="10"/>
    </i>
    <i>
      <x v="17"/>
      <x v="26"/>
    </i>
    <i>
      <x v="18"/>
      <x v="23"/>
    </i>
    <i>
      <x v="19"/>
      <x v="20"/>
    </i>
    <i>
      <x v="20"/>
      <x v="36"/>
    </i>
    <i>
      <x v="21"/>
      <x v="38"/>
    </i>
    <i>
      <x v="22"/>
      <x v="30"/>
    </i>
    <i>
      <x v="23"/>
      <x v="34"/>
    </i>
    <i>
      <x v="24"/>
      <x v="44"/>
    </i>
    <i>
      <x v="25"/>
      <x v="45"/>
    </i>
    <i>
      <x v="26"/>
      <x v="33"/>
    </i>
    <i>
      <x v="27"/>
      <x v="24"/>
    </i>
    <i>
      <x v="28"/>
      <x v="22"/>
    </i>
    <i>
      <x v="29"/>
      <x v="40"/>
    </i>
    <i>
      <x v="30"/>
      <x v="41"/>
    </i>
    <i>
      <x v="31"/>
      <x v="35"/>
    </i>
    <i>
      <x v="32"/>
      <x v="31"/>
    </i>
    <i>
      <x v="33"/>
      <x v="18"/>
    </i>
    <i>
      <x v="34"/>
      <x v="17"/>
    </i>
    <i>
      <x v="35"/>
      <x v="19"/>
    </i>
    <i>
      <x v="36"/>
      <x v="21"/>
    </i>
    <i>
      <x v="37"/>
      <x v="25"/>
    </i>
    <i>
      <x v="38"/>
      <x v="27"/>
    </i>
    <i>
      <x v="39"/>
      <x v="42"/>
    </i>
    <i>
      <x v="40"/>
      <x v="46"/>
    </i>
    <i>
      <x v="41"/>
      <x v="49"/>
    </i>
    <i>
      <x v="42"/>
      <x v="48"/>
    </i>
    <i>
      <x v="43"/>
      <x v="47"/>
    </i>
    <i>
      <x v="44"/>
      <x v="43"/>
    </i>
    <i>
      <x v="45"/>
      <x v="39"/>
    </i>
    <i>
      <x v="46"/>
      <x v="32"/>
    </i>
    <i>
      <x v="47"/>
      <x v="29"/>
    </i>
    <i>
      <x v="48"/>
      <x v="28"/>
    </i>
    <i>
      <x v="49"/>
      <x v="37"/>
    </i>
    <i t="grand">
      <x/>
    </i>
  </rowItems>
  <colFields count="1">
    <field x="3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AreaKM2" fld="30" showDataAs="percentOfRow" baseField="0" baseItem="0" numFmtId="10"/>
  </dataFields>
  <formats count="2">
    <format dxfId="2">
      <pivotArea grandCol="1"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C42BB-4039-42D9-BCB4-52D2E97157F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G57:AX109" firstHeaderRow="1" firstDataRow="2" firstDataCol="2"/>
  <pivotFields count="31">
    <pivotField axis="axisRow" compact="0" outline="0" showAll="0">
      <items count="51">
        <item x="41"/>
        <item x="10"/>
        <item x="11"/>
        <item x="42"/>
        <item x="12"/>
        <item x="13"/>
        <item x="14"/>
        <item x="15"/>
        <item x="16"/>
        <item x="17"/>
        <item x="18"/>
        <item x="19"/>
        <item x="6"/>
        <item x="20"/>
        <item x="21"/>
        <item x="7"/>
        <item x="48"/>
        <item x="22"/>
        <item x="23"/>
        <item x="24"/>
        <item x="25"/>
        <item x="26"/>
        <item x="27"/>
        <item x="28"/>
        <item x="29"/>
        <item x="30"/>
        <item x="1"/>
        <item x="31"/>
        <item x="32"/>
        <item x="33"/>
        <item x="34"/>
        <item x="2"/>
        <item x="35"/>
        <item x="49"/>
        <item x="45"/>
        <item x="3"/>
        <item x="4"/>
        <item x="43"/>
        <item x="36"/>
        <item x="8"/>
        <item x="5"/>
        <item x="0"/>
        <item x="37"/>
        <item x="9"/>
        <item x="47"/>
        <item x="46"/>
        <item x="44"/>
        <item x="38"/>
        <item x="39"/>
        <item x="40"/>
        <item t="default"/>
      </items>
    </pivotField>
    <pivotField axis="axisRow" compact="0" outline="0" showAll="0" defaultSubtotal="0">
      <items count="50">
        <item x="41"/>
        <item x="42"/>
        <item x="11"/>
        <item x="13"/>
        <item x="10"/>
        <item x="14"/>
        <item x="12"/>
        <item x="16"/>
        <item x="15"/>
        <item x="17"/>
        <item x="19"/>
        <item x="6"/>
        <item x="48"/>
        <item x="7"/>
        <item x="21"/>
        <item x="20"/>
        <item x="18"/>
        <item x="1"/>
        <item x="28"/>
        <item x="25"/>
        <item x="4"/>
        <item x="36"/>
        <item x="34"/>
        <item x="45"/>
        <item x="47"/>
        <item x="46"/>
        <item x="49"/>
        <item x="29"/>
        <item x="27"/>
        <item x="5"/>
        <item x="0"/>
        <item x="3"/>
        <item x="2"/>
        <item x="23"/>
        <item x="22"/>
        <item x="24"/>
        <item x="26"/>
        <item x="30"/>
        <item x="31"/>
        <item x="37"/>
        <item x="44"/>
        <item x="40"/>
        <item x="39"/>
        <item x="38"/>
        <item x="9"/>
        <item x="8"/>
        <item x="35"/>
        <item x="33"/>
        <item x="32"/>
        <item x="43"/>
      </items>
    </pivotField>
    <pivotField axis="axisCol" compact="0" outline="0" showAll="0">
      <items count="16">
        <item x="14"/>
        <item x="6"/>
        <item x="13"/>
        <item x="0"/>
        <item x="12"/>
        <item x="5"/>
        <item x="7"/>
        <item x="1"/>
        <item x="10"/>
        <item x="11"/>
        <item x="2"/>
        <item x="8"/>
        <item x="9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"/>
    <field x="0"/>
  </rowFields>
  <rowItems count="51">
    <i>
      <x/>
      <x/>
    </i>
    <i>
      <x v="1"/>
      <x v="3"/>
    </i>
    <i>
      <x v="2"/>
      <x v="2"/>
    </i>
    <i>
      <x v="3"/>
      <x v="5"/>
    </i>
    <i>
      <x v="4"/>
      <x v="1"/>
    </i>
    <i>
      <x v="5"/>
      <x v="6"/>
    </i>
    <i>
      <x v="6"/>
      <x v="4"/>
    </i>
    <i>
      <x v="7"/>
      <x v="8"/>
    </i>
    <i>
      <x v="8"/>
      <x v="7"/>
    </i>
    <i>
      <x v="9"/>
      <x v="9"/>
    </i>
    <i>
      <x v="10"/>
      <x v="11"/>
    </i>
    <i>
      <x v="11"/>
      <x v="12"/>
    </i>
    <i>
      <x v="12"/>
      <x v="16"/>
    </i>
    <i>
      <x v="13"/>
      <x v="15"/>
    </i>
    <i>
      <x v="14"/>
      <x v="14"/>
    </i>
    <i>
      <x v="15"/>
      <x v="13"/>
    </i>
    <i>
      <x v="16"/>
      <x v="10"/>
    </i>
    <i>
      <x v="17"/>
      <x v="26"/>
    </i>
    <i>
      <x v="18"/>
      <x v="23"/>
    </i>
    <i>
      <x v="19"/>
      <x v="20"/>
    </i>
    <i>
      <x v="20"/>
      <x v="36"/>
    </i>
    <i>
      <x v="21"/>
      <x v="38"/>
    </i>
    <i>
      <x v="22"/>
      <x v="30"/>
    </i>
    <i>
      <x v="23"/>
      <x v="34"/>
    </i>
    <i>
      <x v="24"/>
      <x v="44"/>
    </i>
    <i>
      <x v="25"/>
      <x v="45"/>
    </i>
    <i>
      <x v="26"/>
      <x v="33"/>
    </i>
    <i>
      <x v="27"/>
      <x v="24"/>
    </i>
    <i>
      <x v="28"/>
      <x v="22"/>
    </i>
    <i>
      <x v="29"/>
      <x v="40"/>
    </i>
    <i>
      <x v="30"/>
      <x v="41"/>
    </i>
    <i>
      <x v="31"/>
      <x v="35"/>
    </i>
    <i>
      <x v="32"/>
      <x v="31"/>
    </i>
    <i>
      <x v="33"/>
      <x v="18"/>
    </i>
    <i>
      <x v="34"/>
      <x v="17"/>
    </i>
    <i>
      <x v="35"/>
      <x v="19"/>
    </i>
    <i>
      <x v="36"/>
      <x v="21"/>
    </i>
    <i>
      <x v="37"/>
      <x v="25"/>
    </i>
    <i>
      <x v="38"/>
      <x v="27"/>
    </i>
    <i>
      <x v="39"/>
      <x v="42"/>
    </i>
    <i>
      <x v="40"/>
      <x v="46"/>
    </i>
    <i>
      <x v="41"/>
      <x v="49"/>
    </i>
    <i>
      <x v="42"/>
      <x v="48"/>
    </i>
    <i>
      <x v="43"/>
      <x v="47"/>
    </i>
    <i>
      <x v="44"/>
      <x v="43"/>
    </i>
    <i>
      <x v="45"/>
      <x v="39"/>
    </i>
    <i>
      <x v="46"/>
      <x v="32"/>
    </i>
    <i>
      <x v="47"/>
      <x v="29"/>
    </i>
    <i>
      <x v="48"/>
      <x v="28"/>
    </i>
    <i>
      <x v="49"/>
      <x v="37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AreaKM2" fld="30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5C94A-5C82-49EF-A948-D3C6840D62B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BC3:BT55" firstHeaderRow="1" firstDataRow="2" firstDataCol="2"/>
  <pivotFields count="31">
    <pivotField axis="axisRow" compact="0" outline="0" showAll="0">
      <items count="51">
        <item x="41"/>
        <item x="10"/>
        <item x="11"/>
        <item x="42"/>
        <item x="12"/>
        <item x="13"/>
        <item x="14"/>
        <item x="15"/>
        <item x="16"/>
        <item x="17"/>
        <item x="18"/>
        <item x="19"/>
        <item x="6"/>
        <item x="20"/>
        <item x="21"/>
        <item x="7"/>
        <item x="48"/>
        <item x="22"/>
        <item x="23"/>
        <item x="24"/>
        <item x="25"/>
        <item x="26"/>
        <item x="27"/>
        <item x="28"/>
        <item x="29"/>
        <item x="30"/>
        <item x="1"/>
        <item x="31"/>
        <item x="32"/>
        <item x="33"/>
        <item x="34"/>
        <item x="2"/>
        <item x="35"/>
        <item x="49"/>
        <item x="45"/>
        <item x="3"/>
        <item x="4"/>
        <item x="43"/>
        <item x="36"/>
        <item x="8"/>
        <item x="5"/>
        <item x="0"/>
        <item x="37"/>
        <item x="9"/>
        <item x="47"/>
        <item x="46"/>
        <item x="44"/>
        <item x="38"/>
        <item x="39"/>
        <item x="40"/>
        <item t="default"/>
      </items>
    </pivotField>
    <pivotField axis="axisRow" compact="0" outline="0" showAll="0" defaultSubtotal="0">
      <items count="50">
        <item x="41"/>
        <item x="42"/>
        <item x="11"/>
        <item x="13"/>
        <item x="10"/>
        <item x="14"/>
        <item x="12"/>
        <item x="16"/>
        <item x="15"/>
        <item x="17"/>
        <item x="19"/>
        <item x="6"/>
        <item x="48"/>
        <item x="7"/>
        <item x="21"/>
        <item x="20"/>
        <item x="18"/>
        <item x="1"/>
        <item x="28"/>
        <item x="25"/>
        <item x="4"/>
        <item x="36"/>
        <item x="34"/>
        <item x="45"/>
        <item x="47"/>
        <item x="46"/>
        <item x="49"/>
        <item x="29"/>
        <item x="27"/>
        <item x="5"/>
        <item x="0"/>
        <item x="3"/>
        <item x="2"/>
        <item x="23"/>
        <item x="22"/>
        <item x="24"/>
        <item x="26"/>
        <item x="30"/>
        <item x="31"/>
        <item x="37"/>
        <item x="44"/>
        <item x="40"/>
        <item x="39"/>
        <item x="38"/>
        <item x="9"/>
        <item x="8"/>
        <item x="35"/>
        <item x="33"/>
        <item x="32"/>
        <item x="43"/>
      </items>
    </pivotField>
    <pivotField compact="0" outline="0" showAll="0">
      <items count="16">
        <item x="14"/>
        <item x="6"/>
        <item x="13"/>
        <item x="0"/>
        <item x="12"/>
        <item x="5"/>
        <item x="7"/>
        <item x="1"/>
        <item x="10"/>
        <item x="11"/>
        <item x="2"/>
        <item x="8"/>
        <item x="9"/>
        <item x="4"/>
        <item x="3"/>
        <item t="default"/>
      </items>
    </pivotField>
    <pivotField axis="axisCol" compact="0" outline="0" showAll="0">
      <items count="16">
        <item x="14"/>
        <item x="6"/>
        <item x="13"/>
        <item x="0"/>
        <item x="12"/>
        <item x="5"/>
        <item x="7"/>
        <item x="1"/>
        <item x="10"/>
        <item x="11"/>
        <item x="2"/>
        <item x="8"/>
        <item x="9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"/>
    <field x="0"/>
  </rowFields>
  <rowItems count="51">
    <i>
      <x/>
      <x/>
    </i>
    <i>
      <x v="1"/>
      <x v="3"/>
    </i>
    <i>
      <x v="2"/>
      <x v="2"/>
    </i>
    <i>
      <x v="3"/>
      <x v="5"/>
    </i>
    <i>
      <x v="4"/>
      <x v="1"/>
    </i>
    <i>
      <x v="5"/>
      <x v="6"/>
    </i>
    <i>
      <x v="6"/>
      <x v="4"/>
    </i>
    <i>
      <x v="7"/>
      <x v="8"/>
    </i>
    <i>
      <x v="8"/>
      <x v="7"/>
    </i>
    <i>
      <x v="9"/>
      <x v="9"/>
    </i>
    <i>
      <x v="10"/>
      <x v="11"/>
    </i>
    <i>
      <x v="11"/>
      <x v="12"/>
    </i>
    <i>
      <x v="12"/>
      <x v="16"/>
    </i>
    <i>
      <x v="13"/>
      <x v="15"/>
    </i>
    <i>
      <x v="14"/>
      <x v="14"/>
    </i>
    <i>
      <x v="15"/>
      <x v="13"/>
    </i>
    <i>
      <x v="16"/>
      <x v="10"/>
    </i>
    <i>
      <x v="17"/>
      <x v="26"/>
    </i>
    <i>
      <x v="18"/>
      <x v="23"/>
    </i>
    <i>
      <x v="19"/>
      <x v="20"/>
    </i>
    <i>
      <x v="20"/>
      <x v="36"/>
    </i>
    <i>
      <x v="21"/>
      <x v="38"/>
    </i>
    <i>
      <x v="22"/>
      <x v="30"/>
    </i>
    <i>
      <x v="23"/>
      <x v="34"/>
    </i>
    <i>
      <x v="24"/>
      <x v="44"/>
    </i>
    <i>
      <x v="25"/>
      <x v="45"/>
    </i>
    <i>
      <x v="26"/>
      <x v="33"/>
    </i>
    <i>
      <x v="27"/>
      <x v="24"/>
    </i>
    <i>
      <x v="28"/>
      <x v="22"/>
    </i>
    <i>
      <x v="29"/>
      <x v="40"/>
    </i>
    <i>
      <x v="30"/>
      <x v="41"/>
    </i>
    <i>
      <x v="31"/>
      <x v="35"/>
    </i>
    <i>
      <x v="32"/>
      <x v="31"/>
    </i>
    <i>
      <x v="33"/>
      <x v="18"/>
    </i>
    <i>
      <x v="34"/>
      <x v="17"/>
    </i>
    <i>
      <x v="35"/>
      <x v="19"/>
    </i>
    <i>
      <x v="36"/>
      <x v="21"/>
    </i>
    <i>
      <x v="37"/>
      <x v="25"/>
    </i>
    <i>
      <x v="38"/>
      <x v="27"/>
    </i>
    <i>
      <x v="39"/>
      <x v="42"/>
    </i>
    <i>
      <x v="40"/>
      <x v="46"/>
    </i>
    <i>
      <x v="41"/>
      <x v="49"/>
    </i>
    <i>
      <x v="42"/>
      <x v="48"/>
    </i>
    <i>
      <x v="43"/>
      <x v="47"/>
    </i>
    <i>
      <x v="44"/>
      <x v="43"/>
    </i>
    <i>
      <x v="45"/>
      <x v="39"/>
    </i>
    <i>
      <x v="46"/>
      <x v="32"/>
    </i>
    <i>
      <x v="47"/>
      <x v="29"/>
    </i>
    <i>
      <x v="48"/>
      <x v="28"/>
    </i>
    <i>
      <x v="49"/>
      <x v="37"/>
    </i>
    <i t="grand">
      <x/>
    </i>
  </rowItems>
  <colFields count="1">
    <field x="3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AreaKM2" fld="30" baseField="0" baseItem="0"/>
  </dataFields>
  <formats count="1">
    <format dxfId="4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F0D45-7600-4093-BA71-D2959EFFFF8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G3:AX55" firstHeaderRow="1" firstDataRow="2" firstDataCol="2"/>
  <pivotFields count="31">
    <pivotField axis="axisRow" compact="0" outline="0" showAll="0">
      <items count="51">
        <item x="41"/>
        <item x="10"/>
        <item x="11"/>
        <item x="42"/>
        <item x="12"/>
        <item x="13"/>
        <item x="14"/>
        <item x="15"/>
        <item x="16"/>
        <item x="17"/>
        <item x="18"/>
        <item x="19"/>
        <item x="6"/>
        <item x="20"/>
        <item x="21"/>
        <item x="7"/>
        <item x="48"/>
        <item x="22"/>
        <item x="23"/>
        <item x="24"/>
        <item x="25"/>
        <item x="26"/>
        <item x="27"/>
        <item x="28"/>
        <item x="29"/>
        <item x="30"/>
        <item x="1"/>
        <item x="31"/>
        <item x="32"/>
        <item x="33"/>
        <item x="34"/>
        <item x="2"/>
        <item x="35"/>
        <item x="49"/>
        <item x="45"/>
        <item x="3"/>
        <item x="4"/>
        <item x="43"/>
        <item x="36"/>
        <item x="8"/>
        <item x="5"/>
        <item x="0"/>
        <item x="37"/>
        <item x="9"/>
        <item x="47"/>
        <item x="46"/>
        <item x="44"/>
        <item x="38"/>
        <item x="39"/>
        <item x="40"/>
        <item t="default"/>
      </items>
    </pivotField>
    <pivotField axis="axisRow" compact="0" outline="0" showAll="0" defaultSubtotal="0">
      <items count="50">
        <item x="41"/>
        <item x="42"/>
        <item x="11"/>
        <item x="13"/>
        <item x="10"/>
        <item x="14"/>
        <item x="12"/>
        <item x="16"/>
        <item x="15"/>
        <item x="17"/>
        <item x="19"/>
        <item x="6"/>
        <item x="48"/>
        <item x="7"/>
        <item x="21"/>
        <item x="20"/>
        <item x="18"/>
        <item x="1"/>
        <item x="28"/>
        <item x="25"/>
        <item x="4"/>
        <item x="36"/>
        <item x="34"/>
        <item x="45"/>
        <item x="47"/>
        <item x="46"/>
        <item x="49"/>
        <item x="29"/>
        <item x="27"/>
        <item x="5"/>
        <item x="0"/>
        <item x="3"/>
        <item x="2"/>
        <item x="23"/>
        <item x="22"/>
        <item x="24"/>
        <item x="26"/>
        <item x="30"/>
        <item x="31"/>
        <item x="37"/>
        <item x="44"/>
        <item x="40"/>
        <item x="39"/>
        <item x="38"/>
        <item x="9"/>
        <item x="8"/>
        <item x="35"/>
        <item x="33"/>
        <item x="32"/>
        <item x="43"/>
      </items>
    </pivotField>
    <pivotField axis="axisCol" compact="0" outline="0" showAll="0">
      <items count="16">
        <item x="14"/>
        <item x="6"/>
        <item x="13"/>
        <item x="0"/>
        <item x="12"/>
        <item x="5"/>
        <item x="7"/>
        <item x="1"/>
        <item x="10"/>
        <item x="11"/>
        <item x="2"/>
        <item x="8"/>
        <item x="9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"/>
    <field x="0"/>
  </rowFields>
  <rowItems count="51">
    <i>
      <x/>
      <x/>
    </i>
    <i>
      <x v="1"/>
      <x v="3"/>
    </i>
    <i>
      <x v="2"/>
      <x v="2"/>
    </i>
    <i>
      <x v="3"/>
      <x v="5"/>
    </i>
    <i>
      <x v="4"/>
      <x v="1"/>
    </i>
    <i>
      <x v="5"/>
      <x v="6"/>
    </i>
    <i>
      <x v="6"/>
      <x v="4"/>
    </i>
    <i>
      <x v="7"/>
      <x v="8"/>
    </i>
    <i>
      <x v="8"/>
      <x v="7"/>
    </i>
    <i>
      <x v="9"/>
      <x v="9"/>
    </i>
    <i>
      <x v="10"/>
      <x v="11"/>
    </i>
    <i>
      <x v="11"/>
      <x v="12"/>
    </i>
    <i>
      <x v="12"/>
      <x v="16"/>
    </i>
    <i>
      <x v="13"/>
      <x v="15"/>
    </i>
    <i>
      <x v="14"/>
      <x v="14"/>
    </i>
    <i>
      <x v="15"/>
      <x v="13"/>
    </i>
    <i>
      <x v="16"/>
      <x v="10"/>
    </i>
    <i>
      <x v="17"/>
      <x v="26"/>
    </i>
    <i>
      <x v="18"/>
      <x v="23"/>
    </i>
    <i>
      <x v="19"/>
      <x v="20"/>
    </i>
    <i>
      <x v="20"/>
      <x v="36"/>
    </i>
    <i>
      <x v="21"/>
      <x v="38"/>
    </i>
    <i>
      <x v="22"/>
      <x v="30"/>
    </i>
    <i>
      <x v="23"/>
      <x v="34"/>
    </i>
    <i>
      <x v="24"/>
      <x v="44"/>
    </i>
    <i>
      <x v="25"/>
      <x v="45"/>
    </i>
    <i>
      <x v="26"/>
      <x v="33"/>
    </i>
    <i>
      <x v="27"/>
      <x v="24"/>
    </i>
    <i>
      <x v="28"/>
      <x v="22"/>
    </i>
    <i>
      <x v="29"/>
      <x v="40"/>
    </i>
    <i>
      <x v="30"/>
      <x v="41"/>
    </i>
    <i>
      <x v="31"/>
      <x v="35"/>
    </i>
    <i>
      <x v="32"/>
      <x v="31"/>
    </i>
    <i>
      <x v="33"/>
      <x v="18"/>
    </i>
    <i>
      <x v="34"/>
      <x v="17"/>
    </i>
    <i>
      <x v="35"/>
      <x v="19"/>
    </i>
    <i>
      <x v="36"/>
      <x v="21"/>
    </i>
    <i>
      <x v="37"/>
      <x v="25"/>
    </i>
    <i>
      <x v="38"/>
      <x v="27"/>
    </i>
    <i>
      <x v="39"/>
      <x v="42"/>
    </i>
    <i>
      <x v="40"/>
      <x v="46"/>
    </i>
    <i>
      <x v="41"/>
      <x v="49"/>
    </i>
    <i>
      <x v="42"/>
      <x v="48"/>
    </i>
    <i>
      <x v="43"/>
      <x v="47"/>
    </i>
    <i>
      <x v="44"/>
      <x v="43"/>
    </i>
    <i>
      <x v="45"/>
      <x v="39"/>
    </i>
    <i>
      <x v="46"/>
      <x v="32"/>
    </i>
    <i>
      <x v="47"/>
      <x v="29"/>
    </i>
    <i>
      <x v="48"/>
      <x v="28"/>
    </i>
    <i>
      <x v="49"/>
      <x v="37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AreaKM2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520-EC65-4FF6-A57F-630690A8ADE2}">
  <sheetPr codeName="Sheet1"/>
  <dimension ref="A1:W79"/>
  <sheetViews>
    <sheetView workbookViewId="0">
      <selection activeCell="D25" sqref="D25"/>
    </sheetView>
  </sheetViews>
  <sheetFormatPr defaultRowHeight="15" x14ac:dyDescent="0.25"/>
  <cols>
    <col min="20" max="20" width="18.42578125" bestFit="1" customWidth="1"/>
    <col min="21" max="21" width="16.85546875" bestFit="1" customWidth="1"/>
    <col min="22" max="23" width="12" bestFit="1" customWidth="1"/>
    <col min="24" max="24" width="18.42578125" bestFit="1" customWidth="1"/>
    <col min="25" max="25" width="20" bestFit="1" customWidth="1"/>
    <col min="26" max="26" width="23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23" x14ac:dyDescent="0.25">
      <c r="A2">
        <v>1</v>
      </c>
      <c r="B2" t="s">
        <v>17</v>
      </c>
      <c r="C2">
        <v>-1</v>
      </c>
      <c r="D2">
        <v>0</v>
      </c>
      <c r="E2" t="str">
        <f>IF(D2=0,"land","lake")</f>
        <v>land</v>
      </c>
      <c r="F2">
        <v>0</v>
      </c>
      <c r="G2">
        <v>0</v>
      </c>
      <c r="H2">
        <v>9621</v>
      </c>
      <c r="I2">
        <v>1009647</v>
      </c>
      <c r="J2">
        <v>1008727</v>
      </c>
      <c r="K2">
        <v>417217.74838200002</v>
      </c>
      <c r="L2">
        <v>1</v>
      </c>
      <c r="M2">
        <v>3898.214297</v>
      </c>
      <c r="N2">
        <v>0</v>
      </c>
      <c r="O2">
        <v>0</v>
      </c>
      <c r="P2">
        <v>0</v>
      </c>
      <c r="Q2">
        <v>4293.8708120000001</v>
      </c>
      <c r="R2">
        <v>360889.25966099999</v>
      </c>
      <c r="T2" s="1" t="s">
        <v>24</v>
      </c>
      <c r="U2" s="1" t="s">
        <v>23</v>
      </c>
    </row>
    <row r="3" spans="1:23" x14ac:dyDescent="0.25">
      <c r="A3">
        <v>2</v>
      </c>
      <c r="B3" t="s">
        <v>17</v>
      </c>
      <c r="C3">
        <v>-1</v>
      </c>
      <c r="D3">
        <v>0</v>
      </c>
      <c r="E3" t="str">
        <f t="shared" ref="E3:E66" si="0">IF(D3=0,"land","lake")</f>
        <v>land</v>
      </c>
      <c r="F3">
        <v>0</v>
      </c>
      <c r="G3">
        <v>1</v>
      </c>
      <c r="H3">
        <v>9691</v>
      </c>
      <c r="I3">
        <v>1009665</v>
      </c>
      <c r="J3">
        <v>1008711</v>
      </c>
      <c r="K3">
        <v>460381.55421099998</v>
      </c>
      <c r="L3">
        <v>1</v>
      </c>
      <c r="M3">
        <v>4018.1736959999998</v>
      </c>
      <c r="N3">
        <v>0</v>
      </c>
      <c r="O3">
        <v>0</v>
      </c>
      <c r="P3">
        <v>0</v>
      </c>
      <c r="Q3">
        <v>3768.6858480000001</v>
      </c>
      <c r="R3">
        <v>385631.116668</v>
      </c>
      <c r="T3" s="1" t="s">
        <v>19</v>
      </c>
      <c r="U3" t="s">
        <v>20</v>
      </c>
      <c r="V3" t="s">
        <v>21</v>
      </c>
      <c r="W3" t="s">
        <v>22</v>
      </c>
    </row>
    <row r="4" spans="1:23" x14ac:dyDescent="0.25">
      <c r="A4">
        <v>3</v>
      </c>
      <c r="B4" t="s">
        <v>17</v>
      </c>
      <c r="C4">
        <v>-1</v>
      </c>
      <c r="D4">
        <v>0</v>
      </c>
      <c r="E4" t="str">
        <f t="shared" si="0"/>
        <v>land</v>
      </c>
      <c r="F4">
        <v>0</v>
      </c>
      <c r="G4">
        <v>2</v>
      </c>
      <c r="H4">
        <v>10243</v>
      </c>
      <c r="I4">
        <v>1009698</v>
      </c>
      <c r="J4">
        <v>1008727</v>
      </c>
      <c r="K4">
        <v>2613890.82766</v>
      </c>
      <c r="L4">
        <v>1</v>
      </c>
      <c r="M4">
        <v>10195.300221</v>
      </c>
      <c r="N4">
        <v>0</v>
      </c>
      <c r="O4">
        <v>0</v>
      </c>
      <c r="P4">
        <v>0</v>
      </c>
      <c r="Q4">
        <v>6920.7689570000002</v>
      </c>
      <c r="R4">
        <v>562567.78605600004</v>
      </c>
      <c r="T4" s="2">
        <v>1009647</v>
      </c>
      <c r="U4">
        <v>56328.482577000002</v>
      </c>
      <c r="V4">
        <v>360889.25966099999</v>
      </c>
      <c r="W4">
        <v>417217.74223799998</v>
      </c>
    </row>
    <row r="5" spans="1:23" x14ac:dyDescent="0.25">
      <c r="A5">
        <v>4</v>
      </c>
      <c r="B5" t="s">
        <v>17</v>
      </c>
      <c r="C5">
        <v>-1</v>
      </c>
      <c r="D5">
        <v>0</v>
      </c>
      <c r="E5" t="str">
        <f t="shared" si="0"/>
        <v>land</v>
      </c>
      <c r="F5">
        <v>0</v>
      </c>
      <c r="G5">
        <v>3</v>
      </c>
      <c r="H5">
        <v>9642</v>
      </c>
      <c r="I5">
        <v>1009699</v>
      </c>
      <c r="J5">
        <v>1008727</v>
      </c>
      <c r="K5">
        <v>254467.18734500001</v>
      </c>
      <c r="L5">
        <v>1</v>
      </c>
      <c r="M5">
        <v>2758.738143</v>
      </c>
      <c r="N5">
        <v>0</v>
      </c>
      <c r="O5">
        <v>0</v>
      </c>
      <c r="P5">
        <v>0</v>
      </c>
      <c r="Q5">
        <v>2879.1306679999998</v>
      </c>
      <c r="R5">
        <v>234417.609368</v>
      </c>
      <c r="T5" s="2">
        <v>1009665</v>
      </c>
      <c r="U5">
        <v>74750.438949000003</v>
      </c>
      <c r="V5">
        <v>385631.116668</v>
      </c>
      <c r="W5">
        <v>460381.55561699998</v>
      </c>
    </row>
    <row r="6" spans="1:23" x14ac:dyDescent="0.25">
      <c r="A6">
        <v>5</v>
      </c>
      <c r="B6" t="s">
        <v>17</v>
      </c>
      <c r="C6">
        <v>-1</v>
      </c>
      <c r="D6">
        <v>0</v>
      </c>
      <c r="E6" t="str">
        <f t="shared" si="0"/>
        <v>land</v>
      </c>
      <c r="F6">
        <v>0</v>
      </c>
      <c r="G6">
        <v>4</v>
      </c>
      <c r="H6">
        <v>9738</v>
      </c>
      <c r="I6">
        <v>1009710</v>
      </c>
      <c r="J6">
        <v>1008693</v>
      </c>
      <c r="K6">
        <v>624933.80375199998</v>
      </c>
      <c r="L6">
        <v>1</v>
      </c>
      <c r="M6">
        <v>5217.6361200000001</v>
      </c>
      <c r="N6">
        <v>0</v>
      </c>
      <c r="O6">
        <v>0</v>
      </c>
      <c r="P6">
        <v>0</v>
      </c>
      <c r="Q6">
        <v>5418.0107989999997</v>
      </c>
      <c r="R6">
        <v>507407.42123199999</v>
      </c>
      <c r="T6" s="2">
        <v>1009698</v>
      </c>
      <c r="U6">
        <v>2051323.0471310001</v>
      </c>
      <c r="V6">
        <v>562567.78605600004</v>
      </c>
      <c r="W6">
        <v>2613890.8331869999</v>
      </c>
    </row>
    <row r="7" spans="1:23" x14ac:dyDescent="0.25">
      <c r="A7">
        <v>6</v>
      </c>
      <c r="B7" t="s">
        <v>17</v>
      </c>
      <c r="C7">
        <v>-1</v>
      </c>
      <c r="D7">
        <v>0</v>
      </c>
      <c r="E7" t="str">
        <f t="shared" si="0"/>
        <v>land</v>
      </c>
      <c r="F7">
        <v>0</v>
      </c>
      <c r="G7">
        <v>5</v>
      </c>
      <c r="H7">
        <v>9690</v>
      </c>
      <c r="I7">
        <v>1009728</v>
      </c>
      <c r="J7">
        <v>1008711</v>
      </c>
      <c r="K7">
        <v>318309.81075300003</v>
      </c>
      <c r="L7">
        <v>1</v>
      </c>
      <c r="M7">
        <v>3418.4423200000001</v>
      </c>
      <c r="N7">
        <v>0</v>
      </c>
      <c r="O7">
        <v>0</v>
      </c>
      <c r="P7">
        <v>0</v>
      </c>
      <c r="Q7">
        <v>2788.4087810000001</v>
      </c>
      <c r="R7">
        <v>302657.24363300001</v>
      </c>
      <c r="T7" s="2">
        <v>1009699</v>
      </c>
      <c r="U7">
        <v>20049.577344000001</v>
      </c>
      <c r="V7">
        <v>234417.609368</v>
      </c>
      <c r="W7">
        <v>254467.186712</v>
      </c>
    </row>
    <row r="8" spans="1:23" x14ac:dyDescent="0.25">
      <c r="A8">
        <v>7</v>
      </c>
      <c r="B8" t="s">
        <v>17</v>
      </c>
      <c r="C8">
        <v>-1</v>
      </c>
      <c r="D8">
        <v>0</v>
      </c>
      <c r="E8" t="str">
        <f t="shared" si="0"/>
        <v>land</v>
      </c>
      <c r="F8">
        <v>0</v>
      </c>
      <c r="G8">
        <v>6</v>
      </c>
      <c r="H8">
        <v>9763</v>
      </c>
      <c r="I8">
        <v>1009752</v>
      </c>
      <c r="J8">
        <v>1008855</v>
      </c>
      <c r="K8">
        <v>156457.58610099999</v>
      </c>
      <c r="L8">
        <v>1</v>
      </c>
      <c r="M8">
        <v>2458.880893</v>
      </c>
      <c r="N8">
        <v>0</v>
      </c>
      <c r="O8">
        <v>0</v>
      </c>
      <c r="P8">
        <v>0</v>
      </c>
      <c r="Q8">
        <v>568.79250300000001</v>
      </c>
      <c r="R8">
        <v>8271.9318079999994</v>
      </c>
      <c r="T8" s="2">
        <v>1009710</v>
      </c>
      <c r="U8">
        <v>117526.383864</v>
      </c>
      <c r="V8">
        <v>507407.42123199999</v>
      </c>
      <c r="W8">
        <v>624933.80509599997</v>
      </c>
    </row>
    <row r="9" spans="1:23" x14ac:dyDescent="0.25">
      <c r="A9">
        <v>8</v>
      </c>
      <c r="B9" t="s">
        <v>17</v>
      </c>
      <c r="C9">
        <v>-1</v>
      </c>
      <c r="D9">
        <v>0</v>
      </c>
      <c r="E9" t="str">
        <f t="shared" si="0"/>
        <v>land</v>
      </c>
      <c r="F9">
        <v>0</v>
      </c>
      <c r="G9">
        <v>7</v>
      </c>
      <c r="H9">
        <v>9764</v>
      </c>
      <c r="I9">
        <v>1009804</v>
      </c>
      <c r="J9">
        <v>1008855</v>
      </c>
      <c r="K9">
        <v>235586.04437799999</v>
      </c>
      <c r="L9">
        <v>1</v>
      </c>
      <c r="M9">
        <v>3478.4216019999999</v>
      </c>
      <c r="N9">
        <v>0</v>
      </c>
      <c r="O9">
        <v>0</v>
      </c>
      <c r="P9">
        <v>0</v>
      </c>
      <c r="Q9">
        <v>1419.3894399999999</v>
      </c>
      <c r="R9">
        <v>32943.528785000002</v>
      </c>
      <c r="T9" s="2">
        <v>1009728</v>
      </c>
      <c r="U9">
        <v>15652.564296</v>
      </c>
      <c r="V9">
        <v>302657.24363300001</v>
      </c>
      <c r="W9">
        <v>318309.807929</v>
      </c>
    </row>
    <row r="10" spans="1:23" x14ac:dyDescent="0.25">
      <c r="A10">
        <v>9</v>
      </c>
      <c r="B10" t="s">
        <v>17</v>
      </c>
      <c r="C10">
        <v>-1</v>
      </c>
      <c r="D10">
        <v>0</v>
      </c>
      <c r="E10" t="str">
        <f t="shared" si="0"/>
        <v>land</v>
      </c>
      <c r="F10">
        <v>0</v>
      </c>
      <c r="G10">
        <v>8</v>
      </c>
      <c r="H10">
        <v>9825</v>
      </c>
      <c r="I10">
        <v>1009808</v>
      </c>
      <c r="J10">
        <v>1008924</v>
      </c>
      <c r="K10">
        <v>325505.16677000001</v>
      </c>
      <c r="L10">
        <v>1</v>
      </c>
      <c r="M10">
        <v>3718.3159209999999</v>
      </c>
      <c r="N10">
        <v>0</v>
      </c>
      <c r="O10">
        <v>0</v>
      </c>
      <c r="P10">
        <v>0</v>
      </c>
      <c r="Q10">
        <v>3699.8961180000001</v>
      </c>
      <c r="R10">
        <v>169716.36637199999</v>
      </c>
      <c r="T10" s="2">
        <v>1009752</v>
      </c>
      <c r="U10">
        <v>148185.65226</v>
      </c>
      <c r="V10">
        <v>8271.9318079999994</v>
      </c>
      <c r="W10">
        <v>156457.584068</v>
      </c>
    </row>
    <row r="11" spans="1:23" x14ac:dyDescent="0.25">
      <c r="A11">
        <v>10</v>
      </c>
      <c r="B11" t="s">
        <v>17</v>
      </c>
      <c r="C11">
        <v>-1</v>
      </c>
      <c r="D11">
        <v>0</v>
      </c>
      <c r="E11" t="str">
        <f t="shared" si="0"/>
        <v>land</v>
      </c>
      <c r="F11">
        <v>0</v>
      </c>
      <c r="G11">
        <v>9</v>
      </c>
      <c r="H11">
        <v>10031</v>
      </c>
      <c r="I11">
        <v>1009832</v>
      </c>
      <c r="J11">
        <v>1008855</v>
      </c>
      <c r="K11">
        <v>2223666.1798299998</v>
      </c>
      <c r="L11">
        <v>1</v>
      </c>
      <c r="M11">
        <v>7976.3524219999999</v>
      </c>
      <c r="N11">
        <v>0</v>
      </c>
      <c r="O11">
        <v>0</v>
      </c>
      <c r="P11">
        <v>0</v>
      </c>
      <c r="Q11">
        <v>2141.6678740000002</v>
      </c>
      <c r="R11">
        <v>98246.501841000005</v>
      </c>
      <c r="T11" s="2">
        <v>1009804</v>
      </c>
      <c r="U11">
        <v>202642.49321399999</v>
      </c>
      <c r="V11">
        <v>32943.528785000002</v>
      </c>
      <c r="W11">
        <v>235586.02199899999</v>
      </c>
    </row>
    <row r="12" spans="1:23" x14ac:dyDescent="0.25">
      <c r="A12">
        <v>11</v>
      </c>
      <c r="B12" t="s">
        <v>17</v>
      </c>
      <c r="C12">
        <v>-1</v>
      </c>
      <c r="D12">
        <v>0</v>
      </c>
      <c r="E12" t="str">
        <f t="shared" si="0"/>
        <v>land</v>
      </c>
      <c r="F12">
        <v>0</v>
      </c>
      <c r="G12">
        <v>10</v>
      </c>
      <c r="H12">
        <v>10282</v>
      </c>
      <c r="I12">
        <v>1009840</v>
      </c>
      <c r="J12">
        <v>1008899</v>
      </c>
      <c r="K12">
        <v>2209249.6887300001</v>
      </c>
      <c r="L12">
        <v>1</v>
      </c>
      <c r="M12">
        <v>8456.0776889999997</v>
      </c>
      <c r="N12">
        <v>0</v>
      </c>
      <c r="O12">
        <v>0</v>
      </c>
      <c r="P12">
        <v>0</v>
      </c>
      <c r="Q12">
        <v>9490.5889129999996</v>
      </c>
      <c r="R12">
        <v>1231877.7030849999</v>
      </c>
      <c r="T12" s="2">
        <v>1009808</v>
      </c>
      <c r="U12">
        <v>155788.82028099999</v>
      </c>
      <c r="V12">
        <v>169716.36637199999</v>
      </c>
      <c r="W12">
        <v>325505.18665299995</v>
      </c>
    </row>
    <row r="13" spans="1:23" x14ac:dyDescent="0.25">
      <c r="A13">
        <v>12</v>
      </c>
      <c r="B13" t="s">
        <v>17</v>
      </c>
      <c r="C13">
        <v>-1</v>
      </c>
      <c r="D13">
        <v>0</v>
      </c>
      <c r="E13" t="str">
        <f t="shared" si="0"/>
        <v>land</v>
      </c>
      <c r="F13">
        <v>0</v>
      </c>
      <c r="G13">
        <v>11</v>
      </c>
      <c r="H13">
        <v>10033</v>
      </c>
      <c r="I13">
        <v>1009885</v>
      </c>
      <c r="J13">
        <v>1008924</v>
      </c>
      <c r="K13">
        <v>303926.051056</v>
      </c>
      <c r="L13">
        <v>1</v>
      </c>
      <c r="M13">
        <v>4318.0508749999999</v>
      </c>
      <c r="N13">
        <v>0</v>
      </c>
      <c r="O13">
        <v>0</v>
      </c>
      <c r="P13">
        <v>0</v>
      </c>
      <c r="Q13">
        <v>3018.435117</v>
      </c>
      <c r="R13">
        <v>273560.43346299999</v>
      </c>
      <c r="T13" s="2">
        <v>1009832</v>
      </c>
      <c r="U13">
        <v>2125419.6827480001</v>
      </c>
      <c r="V13">
        <v>98246.501841000005</v>
      </c>
      <c r="W13">
        <v>2223666.184589</v>
      </c>
    </row>
    <row r="14" spans="1:23" x14ac:dyDescent="0.25">
      <c r="A14">
        <v>13</v>
      </c>
      <c r="B14" t="s">
        <v>17</v>
      </c>
      <c r="C14">
        <v>-1</v>
      </c>
      <c r="D14">
        <v>0</v>
      </c>
      <c r="E14" t="str">
        <f t="shared" si="0"/>
        <v>land</v>
      </c>
      <c r="F14">
        <v>0</v>
      </c>
      <c r="G14">
        <v>12</v>
      </c>
      <c r="H14">
        <v>10058</v>
      </c>
      <c r="I14">
        <v>1010106</v>
      </c>
      <c r="J14">
        <v>1009104</v>
      </c>
      <c r="K14">
        <v>337197.66935500002</v>
      </c>
      <c r="L14">
        <v>1</v>
      </c>
      <c r="M14">
        <v>2758.763383</v>
      </c>
      <c r="N14">
        <v>0</v>
      </c>
      <c r="O14">
        <v>0</v>
      </c>
      <c r="P14">
        <v>0</v>
      </c>
      <c r="Q14">
        <v>2758.763383</v>
      </c>
      <c r="R14">
        <v>337197.66935500002</v>
      </c>
      <c r="T14" s="2">
        <v>1009840</v>
      </c>
      <c r="U14">
        <v>977371.98513199994</v>
      </c>
      <c r="V14">
        <v>1231877.7030849999</v>
      </c>
      <c r="W14">
        <v>2209249.6882170001</v>
      </c>
    </row>
    <row r="15" spans="1:23" x14ac:dyDescent="0.25">
      <c r="A15">
        <v>14</v>
      </c>
      <c r="B15" t="s">
        <v>17</v>
      </c>
      <c r="C15">
        <v>-1</v>
      </c>
      <c r="D15">
        <v>0</v>
      </c>
      <c r="E15" t="str">
        <f t="shared" si="0"/>
        <v>land</v>
      </c>
      <c r="F15">
        <v>0</v>
      </c>
      <c r="G15">
        <v>14</v>
      </c>
      <c r="H15">
        <v>10032</v>
      </c>
      <c r="I15">
        <v>1010121</v>
      </c>
      <c r="J15">
        <v>1009081</v>
      </c>
      <c r="K15">
        <v>1941333.5943100001</v>
      </c>
      <c r="L15">
        <v>1</v>
      </c>
      <c r="M15">
        <v>8696.0430460000007</v>
      </c>
      <c r="N15">
        <v>0</v>
      </c>
      <c r="O15">
        <v>0</v>
      </c>
      <c r="P15">
        <v>0</v>
      </c>
      <c r="Q15">
        <v>1259.8826349999999</v>
      </c>
      <c r="R15">
        <v>32734.278264</v>
      </c>
      <c r="T15" s="2">
        <v>1009885</v>
      </c>
      <c r="U15">
        <v>30365.618324999999</v>
      </c>
      <c r="V15">
        <v>273560.43346299999</v>
      </c>
      <c r="W15">
        <v>303926.05178799998</v>
      </c>
    </row>
    <row r="16" spans="1:23" x14ac:dyDescent="0.25">
      <c r="A16">
        <v>15</v>
      </c>
      <c r="B16" t="s">
        <v>17</v>
      </c>
      <c r="C16">
        <v>-1</v>
      </c>
      <c r="D16">
        <v>0</v>
      </c>
      <c r="E16" t="str">
        <f t="shared" si="0"/>
        <v>land</v>
      </c>
      <c r="F16">
        <v>0</v>
      </c>
      <c r="G16">
        <v>15</v>
      </c>
      <c r="H16">
        <v>10113</v>
      </c>
      <c r="I16">
        <v>1010139</v>
      </c>
      <c r="J16">
        <v>1009137</v>
      </c>
      <c r="K16">
        <v>1662601.4959199999</v>
      </c>
      <c r="L16">
        <v>1</v>
      </c>
      <c r="M16">
        <v>7676.5434850000001</v>
      </c>
      <c r="N16">
        <v>0</v>
      </c>
      <c r="O16">
        <v>0</v>
      </c>
      <c r="P16">
        <v>0</v>
      </c>
      <c r="Q16">
        <v>9117.7014720000006</v>
      </c>
      <c r="R16">
        <v>993179.17201700003</v>
      </c>
      <c r="T16" s="2">
        <v>1010106</v>
      </c>
      <c r="V16">
        <v>337197.66935500002</v>
      </c>
      <c r="W16">
        <v>337197.66935500002</v>
      </c>
    </row>
    <row r="17" spans="1:23" x14ac:dyDescent="0.25">
      <c r="A17">
        <v>16</v>
      </c>
      <c r="B17" t="s">
        <v>17</v>
      </c>
      <c r="C17">
        <v>-1</v>
      </c>
      <c r="D17">
        <v>0</v>
      </c>
      <c r="E17" t="str">
        <f t="shared" si="0"/>
        <v>land</v>
      </c>
      <c r="F17">
        <v>0</v>
      </c>
      <c r="G17">
        <v>16</v>
      </c>
      <c r="H17">
        <v>10117</v>
      </c>
      <c r="I17">
        <v>1010140</v>
      </c>
      <c r="J17">
        <v>1009138</v>
      </c>
      <c r="K17">
        <v>369568.60371699999</v>
      </c>
      <c r="L17">
        <v>1</v>
      </c>
      <c r="M17">
        <v>3658.3598539999998</v>
      </c>
      <c r="N17">
        <v>0</v>
      </c>
      <c r="O17">
        <v>0</v>
      </c>
      <c r="P17">
        <v>0</v>
      </c>
      <c r="Q17">
        <v>3658.3598539999998</v>
      </c>
      <c r="R17">
        <v>369568.60371699999</v>
      </c>
      <c r="T17" s="2">
        <v>1010120</v>
      </c>
      <c r="U17">
        <v>333592.609</v>
      </c>
      <c r="W17">
        <v>333592.609</v>
      </c>
    </row>
    <row r="18" spans="1:23" x14ac:dyDescent="0.25">
      <c r="A18">
        <v>17</v>
      </c>
      <c r="B18" t="s">
        <v>17</v>
      </c>
      <c r="C18">
        <v>-1</v>
      </c>
      <c r="D18">
        <v>0</v>
      </c>
      <c r="E18" t="str">
        <f t="shared" si="0"/>
        <v>land</v>
      </c>
      <c r="F18">
        <v>0</v>
      </c>
      <c r="G18">
        <v>18</v>
      </c>
      <c r="H18">
        <v>10293</v>
      </c>
      <c r="I18">
        <v>1010219</v>
      </c>
      <c r="J18">
        <v>1009215</v>
      </c>
      <c r="K18">
        <v>1828937.2124999999</v>
      </c>
      <c r="L18">
        <v>1</v>
      </c>
      <c r="M18">
        <v>11394.820852999999</v>
      </c>
      <c r="N18">
        <v>0</v>
      </c>
      <c r="O18">
        <v>0</v>
      </c>
      <c r="P18">
        <v>0</v>
      </c>
      <c r="Q18">
        <v>4817.7795390000001</v>
      </c>
      <c r="R18">
        <v>416198.16974400001</v>
      </c>
      <c r="T18" s="2">
        <v>1010121</v>
      </c>
      <c r="U18">
        <v>1908599.3150289999</v>
      </c>
      <c r="V18">
        <v>32734.278264</v>
      </c>
      <c r="W18">
        <v>1941333.593293</v>
      </c>
    </row>
    <row r="19" spans="1:23" x14ac:dyDescent="0.25">
      <c r="A19">
        <v>18</v>
      </c>
      <c r="B19" t="s">
        <v>17</v>
      </c>
      <c r="C19">
        <v>-1</v>
      </c>
      <c r="D19">
        <v>0</v>
      </c>
      <c r="E19" t="str">
        <f t="shared" si="0"/>
        <v>land</v>
      </c>
      <c r="F19">
        <v>0</v>
      </c>
      <c r="G19">
        <v>20</v>
      </c>
      <c r="H19">
        <v>10326</v>
      </c>
      <c r="I19">
        <v>1010288</v>
      </c>
      <c r="J19">
        <v>1009271</v>
      </c>
      <c r="K19">
        <v>1401826.08345</v>
      </c>
      <c r="L19">
        <v>1</v>
      </c>
      <c r="M19">
        <v>12414.347123</v>
      </c>
      <c r="N19">
        <v>0</v>
      </c>
      <c r="O19">
        <v>0</v>
      </c>
      <c r="P19">
        <v>0</v>
      </c>
      <c r="Q19">
        <v>4805.184902</v>
      </c>
      <c r="R19">
        <v>692661.62343399995</v>
      </c>
      <c r="T19" s="2">
        <v>1010139</v>
      </c>
      <c r="U19">
        <v>669422.32531600003</v>
      </c>
      <c r="V19">
        <v>993179.17201700003</v>
      </c>
      <c r="W19">
        <v>1662601.4973329999</v>
      </c>
    </row>
    <row r="20" spans="1:23" x14ac:dyDescent="0.25">
      <c r="A20">
        <v>19</v>
      </c>
      <c r="B20" t="s">
        <v>17</v>
      </c>
      <c r="C20">
        <v>-1</v>
      </c>
      <c r="D20">
        <v>0</v>
      </c>
      <c r="E20" t="str">
        <f t="shared" si="0"/>
        <v>land</v>
      </c>
      <c r="F20">
        <v>0</v>
      </c>
      <c r="G20">
        <v>22</v>
      </c>
      <c r="H20">
        <v>10219</v>
      </c>
      <c r="I20">
        <v>1010300</v>
      </c>
      <c r="J20">
        <v>1009278</v>
      </c>
      <c r="K20">
        <v>811054.57942700002</v>
      </c>
      <c r="L20">
        <v>1</v>
      </c>
      <c r="M20">
        <v>7436.5907550000002</v>
      </c>
      <c r="N20">
        <v>0</v>
      </c>
      <c r="O20">
        <v>0</v>
      </c>
      <c r="P20">
        <v>0</v>
      </c>
      <c r="Q20">
        <v>1810.2273090000001</v>
      </c>
      <c r="R20">
        <v>80976.575670000006</v>
      </c>
      <c r="T20" s="2">
        <v>1010140</v>
      </c>
      <c r="V20">
        <v>369568.60371699999</v>
      </c>
      <c r="W20">
        <v>369568.60371699999</v>
      </c>
    </row>
    <row r="21" spans="1:23" x14ac:dyDescent="0.25">
      <c r="A21">
        <v>20</v>
      </c>
      <c r="B21" t="s">
        <v>17</v>
      </c>
      <c r="C21">
        <v>-1</v>
      </c>
      <c r="D21">
        <v>0</v>
      </c>
      <c r="E21" t="str">
        <f t="shared" si="0"/>
        <v>land</v>
      </c>
      <c r="F21">
        <v>0</v>
      </c>
      <c r="G21">
        <v>23</v>
      </c>
      <c r="H21">
        <v>10312</v>
      </c>
      <c r="I21">
        <v>1010301</v>
      </c>
      <c r="J21">
        <v>1009279</v>
      </c>
      <c r="K21">
        <v>425314.40753199998</v>
      </c>
      <c r="L21">
        <v>1</v>
      </c>
      <c r="M21">
        <v>5097.6897749999998</v>
      </c>
      <c r="N21">
        <v>0</v>
      </c>
      <c r="O21">
        <v>0</v>
      </c>
      <c r="P21">
        <v>0</v>
      </c>
      <c r="Q21">
        <v>4298.7204650000003</v>
      </c>
      <c r="R21">
        <v>240318.05465899999</v>
      </c>
      <c r="T21" s="2">
        <v>1010218</v>
      </c>
      <c r="U21">
        <v>162749.60359000001</v>
      </c>
      <c r="W21">
        <v>162749.60359000001</v>
      </c>
    </row>
    <row r="22" spans="1:23" x14ac:dyDescent="0.25">
      <c r="A22">
        <v>21</v>
      </c>
      <c r="B22" t="s">
        <v>17</v>
      </c>
      <c r="C22">
        <v>-1</v>
      </c>
      <c r="D22">
        <v>0</v>
      </c>
      <c r="E22" t="str">
        <f t="shared" si="0"/>
        <v>land</v>
      </c>
      <c r="F22">
        <v>0</v>
      </c>
      <c r="G22">
        <v>24</v>
      </c>
      <c r="H22">
        <v>10311</v>
      </c>
      <c r="I22">
        <v>1010306</v>
      </c>
      <c r="J22">
        <v>1009285</v>
      </c>
      <c r="K22">
        <v>133978.16968799999</v>
      </c>
      <c r="L22">
        <v>1</v>
      </c>
      <c r="M22">
        <v>2039.0727979999999</v>
      </c>
      <c r="N22">
        <v>0</v>
      </c>
      <c r="O22">
        <v>0</v>
      </c>
      <c r="P22">
        <v>0</v>
      </c>
      <c r="Q22">
        <v>1547.48332</v>
      </c>
      <c r="R22">
        <v>65336.081359999996</v>
      </c>
      <c r="T22" s="2">
        <v>1010219</v>
      </c>
      <c r="U22">
        <v>1412739.0423679999</v>
      </c>
      <c r="V22">
        <v>416198.16974400001</v>
      </c>
      <c r="W22">
        <v>1828937.212112</v>
      </c>
    </row>
    <row r="23" spans="1:23" x14ac:dyDescent="0.25">
      <c r="A23">
        <v>22</v>
      </c>
      <c r="B23" t="s">
        <v>17</v>
      </c>
      <c r="C23">
        <v>-1</v>
      </c>
      <c r="D23">
        <v>0</v>
      </c>
      <c r="E23" t="str">
        <f t="shared" si="0"/>
        <v>land</v>
      </c>
      <c r="F23">
        <v>0</v>
      </c>
      <c r="G23">
        <v>26</v>
      </c>
      <c r="H23">
        <v>10294</v>
      </c>
      <c r="I23">
        <v>1010344</v>
      </c>
      <c r="J23">
        <v>1009325</v>
      </c>
      <c r="K23">
        <v>583577.16153899999</v>
      </c>
      <c r="L23">
        <v>1</v>
      </c>
      <c r="M23">
        <v>5157.6905660000002</v>
      </c>
      <c r="N23">
        <v>0</v>
      </c>
      <c r="O23">
        <v>0</v>
      </c>
      <c r="P23">
        <v>0</v>
      </c>
      <c r="Q23">
        <v>5157.6905660000002</v>
      </c>
      <c r="R23">
        <v>583577.16153899999</v>
      </c>
      <c r="T23" s="2">
        <v>1010287</v>
      </c>
      <c r="U23">
        <v>12588.342906</v>
      </c>
      <c r="W23">
        <v>12588.342906</v>
      </c>
    </row>
    <row r="24" spans="1:23" x14ac:dyDescent="0.25">
      <c r="A24">
        <v>23</v>
      </c>
      <c r="B24" t="s">
        <v>17</v>
      </c>
      <c r="C24">
        <v>-1</v>
      </c>
      <c r="D24">
        <v>0</v>
      </c>
      <c r="E24" t="str">
        <f t="shared" si="0"/>
        <v>land</v>
      </c>
      <c r="F24">
        <v>0</v>
      </c>
      <c r="G24">
        <v>28</v>
      </c>
      <c r="H24">
        <v>10394</v>
      </c>
      <c r="I24">
        <v>1010359</v>
      </c>
      <c r="J24">
        <v>1009342</v>
      </c>
      <c r="K24">
        <v>311110.45064200001</v>
      </c>
      <c r="L24">
        <v>1</v>
      </c>
      <c r="M24">
        <v>3118.5481239999999</v>
      </c>
      <c r="N24">
        <v>0</v>
      </c>
      <c r="O24">
        <v>0</v>
      </c>
      <c r="P24">
        <v>0</v>
      </c>
      <c r="Q24">
        <v>3032.1204250000001</v>
      </c>
      <c r="R24">
        <v>246393.802704</v>
      </c>
      <c r="T24" s="2">
        <v>1010288</v>
      </c>
      <c r="U24">
        <v>709164.46073799999</v>
      </c>
      <c r="V24">
        <v>692661.62343399995</v>
      </c>
      <c r="W24">
        <v>1401826.0841719999</v>
      </c>
    </row>
    <row r="25" spans="1:23" x14ac:dyDescent="0.25">
      <c r="A25">
        <v>24</v>
      </c>
      <c r="B25" t="s">
        <v>17</v>
      </c>
      <c r="C25">
        <v>-1</v>
      </c>
      <c r="D25">
        <v>0</v>
      </c>
      <c r="E25" t="str">
        <f t="shared" si="0"/>
        <v>land</v>
      </c>
      <c r="F25">
        <v>0</v>
      </c>
      <c r="G25">
        <v>30</v>
      </c>
      <c r="H25">
        <v>10439</v>
      </c>
      <c r="I25">
        <v>1010366</v>
      </c>
      <c r="J25">
        <v>1009362</v>
      </c>
      <c r="K25">
        <v>1623010.61307</v>
      </c>
      <c r="L25">
        <v>1</v>
      </c>
      <c r="M25">
        <v>10195.323087999999</v>
      </c>
      <c r="N25">
        <v>0</v>
      </c>
      <c r="O25">
        <v>0</v>
      </c>
      <c r="P25">
        <v>0</v>
      </c>
      <c r="Q25">
        <v>5781.1012730000002</v>
      </c>
      <c r="R25">
        <v>661604.14537100005</v>
      </c>
      <c r="T25" s="2">
        <v>1010299</v>
      </c>
      <c r="U25">
        <v>26975.005026999999</v>
      </c>
      <c r="W25">
        <v>26975.005026999999</v>
      </c>
    </row>
    <row r="26" spans="1:23" x14ac:dyDescent="0.25">
      <c r="A26">
        <v>25</v>
      </c>
      <c r="B26" t="s">
        <v>17</v>
      </c>
      <c r="C26">
        <v>-1</v>
      </c>
      <c r="D26">
        <v>0</v>
      </c>
      <c r="E26" t="str">
        <f t="shared" si="0"/>
        <v>land</v>
      </c>
      <c r="F26">
        <v>0</v>
      </c>
      <c r="G26">
        <v>31</v>
      </c>
      <c r="H26">
        <v>10324</v>
      </c>
      <c r="I26">
        <v>1010367</v>
      </c>
      <c r="J26">
        <v>1009349</v>
      </c>
      <c r="K26">
        <v>243680.39809999999</v>
      </c>
      <c r="L26">
        <v>1</v>
      </c>
      <c r="M26">
        <v>3358.4868970000002</v>
      </c>
      <c r="N26">
        <v>0</v>
      </c>
      <c r="O26">
        <v>0</v>
      </c>
      <c r="P26">
        <v>0</v>
      </c>
      <c r="Q26">
        <v>3358.4868970000002</v>
      </c>
      <c r="R26">
        <v>243680.39809999999</v>
      </c>
      <c r="T26" s="2">
        <v>1010300</v>
      </c>
      <c r="U26">
        <v>730078.00325199997</v>
      </c>
      <c r="V26">
        <v>80976.575670000006</v>
      </c>
      <c r="W26">
        <v>811054.57892200002</v>
      </c>
    </row>
    <row r="27" spans="1:23" x14ac:dyDescent="0.25">
      <c r="A27">
        <v>26</v>
      </c>
      <c r="B27" t="s">
        <v>17</v>
      </c>
      <c r="C27">
        <v>-1</v>
      </c>
      <c r="D27">
        <v>0</v>
      </c>
      <c r="E27" t="str">
        <f t="shared" si="0"/>
        <v>land</v>
      </c>
      <c r="F27">
        <v>0</v>
      </c>
      <c r="G27">
        <v>32</v>
      </c>
      <c r="H27">
        <v>10338</v>
      </c>
      <c r="I27">
        <v>1010371</v>
      </c>
      <c r="J27">
        <v>1009407</v>
      </c>
      <c r="K27">
        <v>66538.247600000002</v>
      </c>
      <c r="L27">
        <v>1</v>
      </c>
      <c r="M27">
        <v>1379.360142</v>
      </c>
      <c r="N27">
        <v>0</v>
      </c>
      <c r="O27">
        <v>0</v>
      </c>
      <c r="P27">
        <v>0</v>
      </c>
      <c r="Q27">
        <v>481.800229</v>
      </c>
      <c r="R27">
        <v>4963.9941269999999</v>
      </c>
      <c r="T27" s="2">
        <v>1010301</v>
      </c>
      <c r="U27">
        <v>184996.35299300001</v>
      </c>
      <c r="V27">
        <v>240318.05465899999</v>
      </c>
      <c r="W27">
        <v>425314.40765199997</v>
      </c>
    </row>
    <row r="28" spans="1:23" x14ac:dyDescent="0.25">
      <c r="A28">
        <v>27</v>
      </c>
      <c r="B28" t="s">
        <v>17</v>
      </c>
      <c r="C28">
        <v>-1</v>
      </c>
      <c r="D28">
        <v>0</v>
      </c>
      <c r="E28" t="str">
        <f t="shared" si="0"/>
        <v>land</v>
      </c>
      <c r="F28">
        <v>0</v>
      </c>
      <c r="G28">
        <v>33</v>
      </c>
      <c r="H28">
        <v>10482</v>
      </c>
      <c r="I28">
        <v>1010387</v>
      </c>
      <c r="J28">
        <v>1009369</v>
      </c>
      <c r="K28">
        <v>284141.21308399999</v>
      </c>
      <c r="L28">
        <v>1</v>
      </c>
      <c r="M28">
        <v>3118.5801879999999</v>
      </c>
      <c r="N28">
        <v>0</v>
      </c>
      <c r="O28">
        <v>0</v>
      </c>
      <c r="P28">
        <v>0</v>
      </c>
      <c r="Q28">
        <v>3358.616524</v>
      </c>
      <c r="R28">
        <v>278970.14858600002</v>
      </c>
      <c r="T28" s="2">
        <v>1010306</v>
      </c>
      <c r="U28">
        <v>68642.092235000004</v>
      </c>
      <c r="V28">
        <v>65336.081359999996</v>
      </c>
      <c r="W28">
        <v>133978.173595</v>
      </c>
    </row>
    <row r="29" spans="1:23" x14ac:dyDescent="0.25">
      <c r="A29">
        <v>28</v>
      </c>
      <c r="B29" t="s">
        <v>17</v>
      </c>
      <c r="C29">
        <v>-1</v>
      </c>
      <c r="D29">
        <v>0</v>
      </c>
      <c r="E29" t="str">
        <f t="shared" si="0"/>
        <v>land</v>
      </c>
      <c r="F29">
        <v>0</v>
      </c>
      <c r="G29">
        <v>34</v>
      </c>
      <c r="H29">
        <v>10456</v>
      </c>
      <c r="I29">
        <v>1010388</v>
      </c>
      <c r="J29">
        <v>1009370</v>
      </c>
      <c r="K29">
        <v>445096.22644200001</v>
      </c>
      <c r="L29">
        <v>1</v>
      </c>
      <c r="M29">
        <v>4677.8797210000002</v>
      </c>
      <c r="N29">
        <v>0</v>
      </c>
      <c r="O29">
        <v>0</v>
      </c>
      <c r="P29">
        <v>0</v>
      </c>
      <c r="Q29">
        <v>4696.9732720000002</v>
      </c>
      <c r="R29">
        <v>418175.44094900001</v>
      </c>
      <c r="T29" s="2">
        <v>1010326</v>
      </c>
      <c r="U29">
        <v>33269.157704999998</v>
      </c>
      <c r="W29">
        <v>33269.157704999998</v>
      </c>
    </row>
    <row r="30" spans="1:23" x14ac:dyDescent="0.25">
      <c r="A30">
        <v>29</v>
      </c>
      <c r="B30" t="s">
        <v>17</v>
      </c>
      <c r="C30">
        <v>-1</v>
      </c>
      <c r="D30">
        <v>0</v>
      </c>
      <c r="E30" t="str">
        <f t="shared" si="0"/>
        <v>land</v>
      </c>
      <c r="F30">
        <v>0</v>
      </c>
      <c r="G30">
        <v>35</v>
      </c>
      <c r="H30">
        <v>10378</v>
      </c>
      <c r="I30">
        <v>1010398</v>
      </c>
      <c r="J30">
        <v>1009381</v>
      </c>
      <c r="K30">
        <v>212209.53551300001</v>
      </c>
      <c r="L30">
        <v>1</v>
      </c>
      <c r="M30">
        <v>2758.762545</v>
      </c>
      <c r="N30">
        <v>0</v>
      </c>
      <c r="O30">
        <v>0</v>
      </c>
      <c r="P30">
        <v>0</v>
      </c>
      <c r="Q30">
        <v>2758.762545</v>
      </c>
      <c r="R30">
        <v>212209.53551300001</v>
      </c>
      <c r="T30" s="2">
        <v>1010344</v>
      </c>
      <c r="V30">
        <v>583577.16153899999</v>
      </c>
      <c r="W30">
        <v>583577.16153899999</v>
      </c>
    </row>
    <row r="31" spans="1:23" x14ac:dyDescent="0.25">
      <c r="A31">
        <v>30</v>
      </c>
      <c r="B31" t="s">
        <v>17</v>
      </c>
      <c r="C31">
        <v>-1</v>
      </c>
      <c r="D31">
        <v>0</v>
      </c>
      <c r="E31" t="str">
        <f t="shared" si="0"/>
        <v>land</v>
      </c>
      <c r="F31">
        <v>0</v>
      </c>
      <c r="G31">
        <v>36</v>
      </c>
      <c r="H31">
        <v>10330</v>
      </c>
      <c r="I31">
        <v>1010404</v>
      </c>
      <c r="J31">
        <v>1009387</v>
      </c>
      <c r="K31">
        <v>222100.20581799999</v>
      </c>
      <c r="L31">
        <v>1</v>
      </c>
      <c r="M31">
        <v>2518.867021</v>
      </c>
      <c r="N31">
        <v>0</v>
      </c>
      <c r="O31">
        <v>0</v>
      </c>
      <c r="P31">
        <v>0</v>
      </c>
      <c r="Q31">
        <v>2518.867021</v>
      </c>
      <c r="R31">
        <v>222100.20581799999</v>
      </c>
      <c r="T31" s="2">
        <v>1010350</v>
      </c>
      <c r="U31">
        <v>6294.1556890000002</v>
      </c>
      <c r="W31">
        <v>6294.1556890000002</v>
      </c>
    </row>
    <row r="32" spans="1:23" x14ac:dyDescent="0.25">
      <c r="A32">
        <v>31</v>
      </c>
      <c r="B32" t="s">
        <v>17</v>
      </c>
      <c r="C32">
        <v>-1</v>
      </c>
      <c r="D32">
        <v>0</v>
      </c>
      <c r="E32" t="str">
        <f t="shared" si="0"/>
        <v>land</v>
      </c>
      <c r="F32">
        <v>0</v>
      </c>
      <c r="G32">
        <v>37</v>
      </c>
      <c r="H32">
        <v>10393</v>
      </c>
      <c r="I32">
        <v>1010422</v>
      </c>
      <c r="J32">
        <v>1009395</v>
      </c>
      <c r="K32">
        <v>155554.77942400001</v>
      </c>
      <c r="L32">
        <v>1</v>
      </c>
      <c r="M32">
        <v>2158.9921260000001</v>
      </c>
      <c r="N32">
        <v>0</v>
      </c>
      <c r="O32">
        <v>0</v>
      </c>
      <c r="P32">
        <v>0</v>
      </c>
      <c r="Q32">
        <v>2158.9921260000001</v>
      </c>
      <c r="R32">
        <v>155554.77942400001</v>
      </c>
      <c r="T32" s="2">
        <v>1010359</v>
      </c>
      <c r="U32">
        <v>64716.647529000002</v>
      </c>
      <c r="V32">
        <v>246393.802704</v>
      </c>
      <c r="W32">
        <v>311110.45023299998</v>
      </c>
    </row>
    <row r="33" spans="1:23" x14ac:dyDescent="0.25">
      <c r="A33">
        <v>32</v>
      </c>
      <c r="B33" t="s">
        <v>17</v>
      </c>
      <c r="C33">
        <v>-1</v>
      </c>
      <c r="D33">
        <v>0</v>
      </c>
      <c r="E33" t="str">
        <f t="shared" si="0"/>
        <v>land</v>
      </c>
      <c r="F33">
        <v>0</v>
      </c>
      <c r="G33">
        <v>38</v>
      </c>
      <c r="H33">
        <v>10412</v>
      </c>
      <c r="I33">
        <v>1010423</v>
      </c>
      <c r="J33">
        <v>1009413</v>
      </c>
      <c r="K33">
        <v>403724.58460399997</v>
      </c>
      <c r="L33">
        <v>1</v>
      </c>
      <c r="M33">
        <v>3478.3828480000002</v>
      </c>
      <c r="N33">
        <v>0</v>
      </c>
      <c r="O33">
        <v>0</v>
      </c>
      <c r="P33">
        <v>0</v>
      </c>
      <c r="Q33">
        <v>3291.6665849999999</v>
      </c>
      <c r="R33">
        <v>388537.76441499998</v>
      </c>
      <c r="T33" s="2">
        <v>1010360</v>
      </c>
      <c r="U33">
        <v>22479.141538</v>
      </c>
      <c r="W33">
        <v>22479.141538</v>
      </c>
    </row>
    <row r="34" spans="1:23" x14ac:dyDescent="0.25">
      <c r="A34">
        <v>33</v>
      </c>
      <c r="B34" t="s">
        <v>17</v>
      </c>
      <c r="C34">
        <v>-1</v>
      </c>
      <c r="D34">
        <v>0</v>
      </c>
      <c r="E34" t="str">
        <f t="shared" si="0"/>
        <v>land</v>
      </c>
      <c r="F34">
        <v>0</v>
      </c>
      <c r="G34">
        <v>39</v>
      </c>
      <c r="H34">
        <v>10401</v>
      </c>
      <c r="I34">
        <v>1010424</v>
      </c>
      <c r="J34">
        <v>1009465</v>
      </c>
      <c r="K34">
        <v>191522.43302999999</v>
      </c>
      <c r="L34">
        <v>1</v>
      </c>
      <c r="M34">
        <v>3058.5816049999999</v>
      </c>
      <c r="N34">
        <v>0</v>
      </c>
      <c r="O34">
        <v>0</v>
      </c>
      <c r="P34">
        <v>0</v>
      </c>
      <c r="Q34">
        <v>2355.33185</v>
      </c>
      <c r="R34">
        <v>76342.796598999994</v>
      </c>
      <c r="T34" s="2">
        <v>1010366</v>
      </c>
      <c r="U34">
        <v>961406.46718200005</v>
      </c>
      <c r="V34">
        <v>661604.14537100005</v>
      </c>
      <c r="W34">
        <v>1623010.612553</v>
      </c>
    </row>
    <row r="35" spans="1:23" x14ac:dyDescent="0.25">
      <c r="A35">
        <v>34</v>
      </c>
      <c r="B35" t="s">
        <v>17</v>
      </c>
      <c r="C35">
        <v>-1</v>
      </c>
      <c r="D35">
        <v>0</v>
      </c>
      <c r="E35" t="str">
        <f t="shared" si="0"/>
        <v>land</v>
      </c>
      <c r="F35">
        <v>0</v>
      </c>
      <c r="G35">
        <v>40</v>
      </c>
      <c r="H35">
        <v>10574</v>
      </c>
      <c r="I35">
        <v>1010461</v>
      </c>
      <c r="J35">
        <v>1009448</v>
      </c>
      <c r="K35">
        <v>938753.97368599998</v>
      </c>
      <c r="L35">
        <v>1</v>
      </c>
      <c r="M35">
        <v>5757.4074840000003</v>
      </c>
      <c r="N35">
        <v>0</v>
      </c>
      <c r="O35">
        <v>0</v>
      </c>
      <c r="P35">
        <v>0</v>
      </c>
      <c r="Q35">
        <v>5757.4074840000003</v>
      </c>
      <c r="R35">
        <v>938753.97368599998</v>
      </c>
      <c r="T35" s="2">
        <v>1010367</v>
      </c>
      <c r="V35">
        <v>243680.39809999999</v>
      </c>
      <c r="W35">
        <v>243680.39809999999</v>
      </c>
    </row>
    <row r="36" spans="1:23" x14ac:dyDescent="0.25">
      <c r="A36">
        <v>35</v>
      </c>
      <c r="B36" t="s">
        <v>17</v>
      </c>
      <c r="C36">
        <v>-1</v>
      </c>
      <c r="D36">
        <v>0</v>
      </c>
      <c r="E36" t="str">
        <f t="shared" si="0"/>
        <v>land</v>
      </c>
      <c r="F36">
        <v>0</v>
      </c>
      <c r="G36">
        <v>41</v>
      </c>
      <c r="H36">
        <v>10594</v>
      </c>
      <c r="I36">
        <v>1010462</v>
      </c>
      <c r="J36">
        <v>1009436</v>
      </c>
      <c r="K36">
        <v>1152767.33971</v>
      </c>
      <c r="L36">
        <v>1</v>
      </c>
      <c r="M36">
        <v>6537.0723369999996</v>
      </c>
      <c r="N36">
        <v>0</v>
      </c>
      <c r="O36">
        <v>0</v>
      </c>
      <c r="P36">
        <v>0</v>
      </c>
      <c r="Q36">
        <v>6537.0723369999996</v>
      </c>
      <c r="R36">
        <v>1152767.3397059999</v>
      </c>
      <c r="T36" s="2">
        <v>1010371</v>
      </c>
      <c r="U36">
        <v>61574.252149</v>
      </c>
      <c r="V36">
        <v>4963.9941269999999</v>
      </c>
      <c r="W36">
        <v>66538.246276000005</v>
      </c>
    </row>
    <row r="37" spans="1:23" x14ac:dyDescent="0.25">
      <c r="A37">
        <v>36</v>
      </c>
      <c r="B37" t="s">
        <v>17</v>
      </c>
      <c r="C37">
        <v>-1</v>
      </c>
      <c r="D37">
        <v>0</v>
      </c>
      <c r="E37" t="str">
        <f t="shared" si="0"/>
        <v>land</v>
      </c>
      <c r="F37">
        <v>0</v>
      </c>
      <c r="G37">
        <v>42</v>
      </c>
      <c r="H37">
        <v>10600</v>
      </c>
      <c r="I37">
        <v>1010474</v>
      </c>
      <c r="J37">
        <v>1009459</v>
      </c>
      <c r="K37">
        <v>1544781.51786</v>
      </c>
      <c r="L37">
        <v>1</v>
      </c>
      <c r="M37">
        <v>8276.1986730000008</v>
      </c>
      <c r="N37">
        <v>0</v>
      </c>
      <c r="O37">
        <v>0</v>
      </c>
      <c r="P37">
        <v>0</v>
      </c>
      <c r="Q37">
        <v>5963.8988669999999</v>
      </c>
      <c r="R37">
        <v>1102880.112924</v>
      </c>
      <c r="T37" s="2">
        <v>1010387</v>
      </c>
      <c r="U37">
        <v>5171.0645439999998</v>
      </c>
      <c r="V37">
        <v>278970.14858600002</v>
      </c>
      <c r="W37">
        <v>284141.21313000005</v>
      </c>
    </row>
    <row r="38" spans="1:23" x14ac:dyDescent="0.25">
      <c r="A38">
        <v>37</v>
      </c>
      <c r="B38" t="s">
        <v>17</v>
      </c>
      <c r="C38">
        <v>-1</v>
      </c>
      <c r="D38">
        <v>0</v>
      </c>
      <c r="E38" t="str">
        <f t="shared" si="0"/>
        <v>land</v>
      </c>
      <c r="F38">
        <v>0</v>
      </c>
      <c r="G38">
        <v>43</v>
      </c>
      <c r="H38">
        <v>10593</v>
      </c>
      <c r="I38">
        <v>1010490</v>
      </c>
      <c r="J38">
        <v>1009466</v>
      </c>
      <c r="K38">
        <v>1010666.12703</v>
      </c>
      <c r="L38">
        <v>1</v>
      </c>
      <c r="M38">
        <v>5277.5622009999997</v>
      </c>
      <c r="N38">
        <v>0</v>
      </c>
      <c r="O38">
        <v>0</v>
      </c>
      <c r="P38">
        <v>0</v>
      </c>
      <c r="Q38">
        <v>6149.8597920000002</v>
      </c>
      <c r="R38">
        <v>738910.32935999997</v>
      </c>
      <c r="T38" s="2">
        <v>1010388</v>
      </c>
      <c r="U38">
        <v>26920.781835000002</v>
      </c>
      <c r="V38">
        <v>418175.44094900001</v>
      </c>
      <c r="W38">
        <v>445096.22278399998</v>
      </c>
    </row>
    <row r="39" spans="1:23" x14ac:dyDescent="0.25">
      <c r="A39">
        <v>38</v>
      </c>
      <c r="B39" t="s">
        <v>17</v>
      </c>
      <c r="C39">
        <v>-1</v>
      </c>
      <c r="D39">
        <v>0</v>
      </c>
      <c r="E39" t="str">
        <f t="shared" si="0"/>
        <v>land</v>
      </c>
      <c r="F39">
        <v>0</v>
      </c>
      <c r="G39">
        <v>44</v>
      </c>
      <c r="H39">
        <v>10504</v>
      </c>
      <c r="I39">
        <v>1010548</v>
      </c>
      <c r="J39">
        <v>1009527</v>
      </c>
      <c r="K39">
        <v>254468.65062599999</v>
      </c>
      <c r="L39">
        <v>1</v>
      </c>
      <c r="M39">
        <v>2698.7733389999999</v>
      </c>
      <c r="N39">
        <v>0</v>
      </c>
      <c r="O39">
        <v>0</v>
      </c>
      <c r="P39">
        <v>0</v>
      </c>
      <c r="Q39">
        <v>2698.7733389999999</v>
      </c>
      <c r="R39">
        <v>254468.65062599999</v>
      </c>
      <c r="T39" s="2">
        <v>1010398</v>
      </c>
      <c r="V39">
        <v>212209.53551300001</v>
      </c>
      <c r="W39">
        <v>212209.53551300001</v>
      </c>
    </row>
    <row r="40" spans="1:23" x14ac:dyDescent="0.25">
      <c r="A40">
        <v>39</v>
      </c>
      <c r="B40" t="s">
        <v>17</v>
      </c>
      <c r="C40">
        <v>-1</v>
      </c>
      <c r="D40">
        <v>0</v>
      </c>
      <c r="E40" t="str">
        <f t="shared" si="0"/>
        <v>land</v>
      </c>
      <c r="F40">
        <v>0</v>
      </c>
      <c r="G40">
        <v>45</v>
      </c>
      <c r="H40">
        <v>10536</v>
      </c>
      <c r="I40">
        <v>1010556</v>
      </c>
      <c r="J40">
        <v>1009520</v>
      </c>
      <c r="K40">
        <v>340789.19214499998</v>
      </c>
      <c r="L40">
        <v>1</v>
      </c>
      <c r="M40">
        <v>3598.3594119999998</v>
      </c>
      <c r="N40">
        <v>0</v>
      </c>
      <c r="O40">
        <v>0</v>
      </c>
      <c r="P40">
        <v>0</v>
      </c>
      <c r="Q40">
        <v>3598.3594119999998</v>
      </c>
      <c r="R40">
        <v>340789.19214499998</v>
      </c>
      <c r="T40" s="2">
        <v>1010404</v>
      </c>
      <c r="V40">
        <v>222100.20581799999</v>
      </c>
      <c r="W40">
        <v>222100.20581799999</v>
      </c>
    </row>
    <row r="41" spans="1:23" x14ac:dyDescent="0.25">
      <c r="A41">
        <v>40</v>
      </c>
      <c r="B41" t="s">
        <v>17</v>
      </c>
      <c r="C41">
        <v>-1</v>
      </c>
      <c r="D41">
        <v>0</v>
      </c>
      <c r="E41" t="str">
        <f t="shared" si="0"/>
        <v>land</v>
      </c>
      <c r="F41">
        <v>0</v>
      </c>
      <c r="G41">
        <v>46</v>
      </c>
      <c r="H41">
        <v>10620</v>
      </c>
      <c r="I41">
        <v>1010660</v>
      </c>
      <c r="J41">
        <v>1009644</v>
      </c>
      <c r="K41">
        <v>513427.38872300001</v>
      </c>
      <c r="L41">
        <v>1</v>
      </c>
      <c r="M41">
        <v>3718.2889279999999</v>
      </c>
      <c r="N41">
        <v>0</v>
      </c>
      <c r="O41">
        <v>0</v>
      </c>
      <c r="P41">
        <v>0</v>
      </c>
      <c r="Q41">
        <v>3718.2889279999999</v>
      </c>
      <c r="R41">
        <v>513427.38872300001</v>
      </c>
      <c r="T41" s="2">
        <v>1010422</v>
      </c>
      <c r="V41">
        <v>155554.77942400001</v>
      </c>
      <c r="W41">
        <v>155554.77942400001</v>
      </c>
    </row>
    <row r="42" spans="1:23" x14ac:dyDescent="0.25">
      <c r="A42">
        <v>41</v>
      </c>
      <c r="B42" t="s">
        <v>17</v>
      </c>
      <c r="C42">
        <v>-1</v>
      </c>
      <c r="D42">
        <v>0</v>
      </c>
      <c r="E42" t="str">
        <f t="shared" si="0"/>
        <v>land</v>
      </c>
      <c r="F42">
        <v>0</v>
      </c>
      <c r="G42">
        <v>47</v>
      </c>
      <c r="H42">
        <v>10759</v>
      </c>
      <c r="I42">
        <v>1010665</v>
      </c>
      <c r="J42">
        <v>1009619</v>
      </c>
      <c r="K42">
        <v>362365.16101899999</v>
      </c>
      <c r="L42">
        <v>1</v>
      </c>
      <c r="M42">
        <v>3358.4488959999999</v>
      </c>
      <c r="N42">
        <v>0</v>
      </c>
      <c r="O42">
        <v>0</v>
      </c>
      <c r="P42">
        <v>0</v>
      </c>
      <c r="Q42">
        <v>3358.4488959999999</v>
      </c>
      <c r="R42">
        <v>362365.16101899999</v>
      </c>
      <c r="T42" s="2">
        <v>1010423</v>
      </c>
      <c r="U42">
        <v>15186.821263</v>
      </c>
      <c r="V42">
        <v>388537.76441499998</v>
      </c>
      <c r="W42">
        <v>403724.585678</v>
      </c>
    </row>
    <row r="43" spans="1:23" x14ac:dyDescent="0.25">
      <c r="A43">
        <v>42</v>
      </c>
      <c r="B43" t="s">
        <v>17</v>
      </c>
      <c r="C43">
        <v>-1</v>
      </c>
      <c r="D43">
        <v>0</v>
      </c>
      <c r="E43" t="str">
        <f t="shared" si="0"/>
        <v>land</v>
      </c>
      <c r="F43">
        <v>0</v>
      </c>
      <c r="G43">
        <v>48</v>
      </c>
      <c r="H43">
        <v>10882</v>
      </c>
      <c r="I43">
        <v>1010847</v>
      </c>
      <c r="J43">
        <v>1009790</v>
      </c>
      <c r="K43">
        <v>499037.49365199998</v>
      </c>
      <c r="L43">
        <v>1</v>
      </c>
      <c r="M43">
        <v>3898.1936209999999</v>
      </c>
      <c r="N43">
        <v>0</v>
      </c>
      <c r="O43">
        <v>0</v>
      </c>
      <c r="P43">
        <v>0</v>
      </c>
      <c r="Q43">
        <v>3898.1936209999999</v>
      </c>
      <c r="R43">
        <v>499037.49365199998</v>
      </c>
      <c r="T43" s="2">
        <v>1010424</v>
      </c>
      <c r="U43">
        <v>115179.638162</v>
      </c>
      <c r="V43">
        <v>76342.796598999994</v>
      </c>
      <c r="W43">
        <v>191522.43476099998</v>
      </c>
    </row>
    <row r="44" spans="1:23" x14ac:dyDescent="0.25">
      <c r="A44">
        <v>43</v>
      </c>
      <c r="B44" t="s">
        <v>17</v>
      </c>
      <c r="C44">
        <v>-1</v>
      </c>
      <c r="D44">
        <v>0</v>
      </c>
      <c r="E44" t="str">
        <f t="shared" si="0"/>
        <v>land</v>
      </c>
      <c r="F44">
        <v>0</v>
      </c>
      <c r="G44">
        <v>49</v>
      </c>
      <c r="H44">
        <v>10822</v>
      </c>
      <c r="I44">
        <v>1010848</v>
      </c>
      <c r="J44">
        <v>1009791</v>
      </c>
      <c r="K44">
        <v>520619.811216</v>
      </c>
      <c r="L44">
        <v>1</v>
      </c>
      <c r="M44">
        <v>3778.2582130000001</v>
      </c>
      <c r="N44">
        <v>0</v>
      </c>
      <c r="O44">
        <v>0</v>
      </c>
      <c r="P44">
        <v>0</v>
      </c>
      <c r="Q44">
        <v>3778.2582130000001</v>
      </c>
      <c r="R44">
        <v>520619.811216</v>
      </c>
      <c r="T44" s="2">
        <v>1010461</v>
      </c>
      <c r="V44">
        <v>938753.97368599998</v>
      </c>
      <c r="W44">
        <v>938753.97368599998</v>
      </c>
    </row>
    <row r="45" spans="1:23" x14ac:dyDescent="0.25">
      <c r="A45">
        <v>44</v>
      </c>
      <c r="B45" t="s">
        <v>17</v>
      </c>
      <c r="C45">
        <v>0</v>
      </c>
      <c r="D45">
        <v>25</v>
      </c>
      <c r="E45" t="str">
        <f t="shared" si="0"/>
        <v>lake</v>
      </c>
      <c r="F45">
        <v>0</v>
      </c>
      <c r="G45">
        <v>0</v>
      </c>
      <c r="H45">
        <v>9621</v>
      </c>
      <c r="I45">
        <v>1009647</v>
      </c>
      <c r="J45">
        <v>1008727</v>
      </c>
      <c r="K45">
        <v>417217.74838200002</v>
      </c>
      <c r="L45">
        <v>1</v>
      </c>
      <c r="M45">
        <v>3898.214297</v>
      </c>
      <c r="N45">
        <v>0</v>
      </c>
      <c r="O45">
        <v>0</v>
      </c>
      <c r="P45">
        <v>0</v>
      </c>
      <c r="Q45">
        <v>1773.9916860000001</v>
      </c>
      <c r="R45">
        <v>56328.482577000002</v>
      </c>
      <c r="T45" s="2">
        <v>1010462</v>
      </c>
      <c r="V45">
        <v>1152767.3397059999</v>
      </c>
      <c r="W45">
        <v>1152767.3397059999</v>
      </c>
    </row>
    <row r="46" spans="1:23" x14ac:dyDescent="0.25">
      <c r="A46">
        <v>45</v>
      </c>
      <c r="B46" t="s">
        <v>17</v>
      </c>
      <c r="C46">
        <v>0</v>
      </c>
      <c r="D46">
        <v>25</v>
      </c>
      <c r="E46" t="str">
        <f t="shared" si="0"/>
        <v>lake</v>
      </c>
      <c r="F46">
        <v>0</v>
      </c>
      <c r="G46">
        <v>1</v>
      </c>
      <c r="H46">
        <v>9691</v>
      </c>
      <c r="I46">
        <v>1009665</v>
      </c>
      <c r="J46">
        <v>1008711</v>
      </c>
      <c r="K46">
        <v>460381.55421099998</v>
      </c>
      <c r="L46">
        <v>1</v>
      </c>
      <c r="M46">
        <v>4018.1736959999998</v>
      </c>
      <c r="N46">
        <v>0</v>
      </c>
      <c r="O46">
        <v>0</v>
      </c>
      <c r="P46">
        <v>0</v>
      </c>
      <c r="Q46">
        <v>2267.5586480000002</v>
      </c>
      <c r="R46">
        <v>74750.438949000003</v>
      </c>
      <c r="T46" s="2">
        <v>1010474</v>
      </c>
      <c r="U46">
        <v>441901.39930699999</v>
      </c>
      <c r="V46">
        <v>1102880.112924</v>
      </c>
      <c r="W46">
        <v>1544781.512231</v>
      </c>
    </row>
    <row r="47" spans="1:23" x14ac:dyDescent="0.25">
      <c r="A47">
        <v>46</v>
      </c>
      <c r="B47" t="s">
        <v>17</v>
      </c>
      <c r="C47">
        <v>0</v>
      </c>
      <c r="D47">
        <v>25</v>
      </c>
      <c r="E47" t="str">
        <f t="shared" si="0"/>
        <v>lake</v>
      </c>
      <c r="F47">
        <v>0</v>
      </c>
      <c r="G47">
        <v>2</v>
      </c>
      <c r="H47">
        <v>10243</v>
      </c>
      <c r="I47">
        <v>1009698</v>
      </c>
      <c r="J47">
        <v>1008727</v>
      </c>
      <c r="K47">
        <v>2613890.82766</v>
      </c>
      <c r="L47">
        <v>1</v>
      </c>
      <c r="M47">
        <v>10195.300221</v>
      </c>
      <c r="N47">
        <v>0</v>
      </c>
      <c r="O47">
        <v>0</v>
      </c>
      <c r="P47">
        <v>0</v>
      </c>
      <c r="Q47">
        <v>10035.460464</v>
      </c>
      <c r="R47">
        <v>2051323.0471310001</v>
      </c>
      <c r="T47" s="2">
        <v>1010490</v>
      </c>
      <c r="U47">
        <v>271755.80299300002</v>
      </c>
      <c r="V47">
        <v>738910.32935999997</v>
      </c>
      <c r="W47">
        <v>1010666.132353</v>
      </c>
    </row>
    <row r="48" spans="1:23" x14ac:dyDescent="0.25">
      <c r="A48">
        <v>47</v>
      </c>
      <c r="B48" t="s">
        <v>17</v>
      </c>
      <c r="C48">
        <v>0</v>
      </c>
      <c r="D48">
        <v>25</v>
      </c>
      <c r="E48" t="str">
        <f t="shared" si="0"/>
        <v>lake</v>
      </c>
      <c r="F48">
        <v>0</v>
      </c>
      <c r="G48">
        <v>3</v>
      </c>
      <c r="H48">
        <v>9642</v>
      </c>
      <c r="I48">
        <v>1009699</v>
      </c>
      <c r="J48">
        <v>1008727</v>
      </c>
      <c r="K48">
        <v>254467.18734500001</v>
      </c>
      <c r="L48">
        <v>1</v>
      </c>
      <c r="M48">
        <v>2758.738143</v>
      </c>
      <c r="N48">
        <v>0</v>
      </c>
      <c r="O48">
        <v>0</v>
      </c>
      <c r="P48">
        <v>0</v>
      </c>
      <c r="Q48">
        <v>626.19267500000001</v>
      </c>
      <c r="R48">
        <v>20049.577344000001</v>
      </c>
      <c r="T48" s="2">
        <v>1010548</v>
      </c>
      <c r="V48">
        <v>254468.65062599999</v>
      </c>
      <c r="W48">
        <v>254468.65062599999</v>
      </c>
    </row>
    <row r="49" spans="1:23" x14ac:dyDescent="0.25">
      <c r="A49">
        <v>48</v>
      </c>
      <c r="B49" t="s">
        <v>17</v>
      </c>
      <c r="C49">
        <v>0</v>
      </c>
      <c r="D49">
        <v>25</v>
      </c>
      <c r="E49" t="str">
        <f t="shared" si="0"/>
        <v>lake</v>
      </c>
      <c r="F49">
        <v>0</v>
      </c>
      <c r="G49">
        <v>4</v>
      </c>
      <c r="H49">
        <v>9738</v>
      </c>
      <c r="I49">
        <v>1009710</v>
      </c>
      <c r="J49">
        <v>1008693</v>
      </c>
      <c r="K49">
        <v>624933.80375199998</v>
      </c>
      <c r="L49">
        <v>1</v>
      </c>
      <c r="M49">
        <v>5217.6361200000001</v>
      </c>
      <c r="N49">
        <v>0</v>
      </c>
      <c r="O49">
        <v>0</v>
      </c>
      <c r="P49">
        <v>0</v>
      </c>
      <c r="Q49">
        <v>2529.3401210000002</v>
      </c>
      <c r="R49">
        <v>117526.383864</v>
      </c>
      <c r="T49" s="2">
        <v>1010556</v>
      </c>
      <c r="V49">
        <v>340789.19214499998</v>
      </c>
      <c r="W49">
        <v>340789.19214499998</v>
      </c>
    </row>
    <row r="50" spans="1:23" x14ac:dyDescent="0.25">
      <c r="A50">
        <v>49</v>
      </c>
      <c r="B50" t="s">
        <v>17</v>
      </c>
      <c r="C50">
        <v>0</v>
      </c>
      <c r="D50">
        <v>25</v>
      </c>
      <c r="E50" t="str">
        <f t="shared" si="0"/>
        <v>lake</v>
      </c>
      <c r="F50">
        <v>0</v>
      </c>
      <c r="G50">
        <v>5</v>
      </c>
      <c r="H50">
        <v>9690</v>
      </c>
      <c r="I50">
        <v>1009728</v>
      </c>
      <c r="J50">
        <v>1008711</v>
      </c>
      <c r="K50">
        <v>318309.81075300003</v>
      </c>
      <c r="L50">
        <v>1</v>
      </c>
      <c r="M50">
        <v>3418.4423200000001</v>
      </c>
      <c r="N50">
        <v>0</v>
      </c>
      <c r="O50">
        <v>0</v>
      </c>
      <c r="P50">
        <v>0</v>
      </c>
      <c r="Q50">
        <v>1129.5315399999999</v>
      </c>
      <c r="R50">
        <v>15652.564296</v>
      </c>
      <c r="T50" s="2">
        <v>1010660</v>
      </c>
      <c r="V50">
        <v>513427.38872300001</v>
      </c>
      <c r="W50">
        <v>513427.38872300001</v>
      </c>
    </row>
    <row r="51" spans="1:23" x14ac:dyDescent="0.25">
      <c r="A51">
        <v>50</v>
      </c>
      <c r="B51" t="s">
        <v>17</v>
      </c>
      <c r="C51">
        <v>0</v>
      </c>
      <c r="D51">
        <v>25</v>
      </c>
      <c r="E51" t="str">
        <f t="shared" si="0"/>
        <v>lake</v>
      </c>
      <c r="F51">
        <v>0</v>
      </c>
      <c r="G51">
        <v>6</v>
      </c>
      <c r="H51">
        <v>9763</v>
      </c>
      <c r="I51">
        <v>1009752</v>
      </c>
      <c r="J51">
        <v>1008855</v>
      </c>
      <c r="K51">
        <v>156457.58610099999</v>
      </c>
      <c r="L51">
        <v>1</v>
      </c>
      <c r="M51">
        <v>2458.880893</v>
      </c>
      <c r="N51">
        <v>0</v>
      </c>
      <c r="O51">
        <v>0</v>
      </c>
      <c r="P51">
        <v>0</v>
      </c>
      <c r="Q51">
        <v>2389.42679</v>
      </c>
      <c r="R51">
        <v>148185.65226</v>
      </c>
      <c r="T51" s="2">
        <v>1010665</v>
      </c>
      <c r="V51">
        <v>362365.16101899999</v>
      </c>
      <c r="W51">
        <v>362365.16101899999</v>
      </c>
    </row>
    <row r="52" spans="1:23" x14ac:dyDescent="0.25">
      <c r="A52">
        <v>51</v>
      </c>
      <c r="B52" t="s">
        <v>17</v>
      </c>
      <c r="C52">
        <v>0</v>
      </c>
      <c r="D52">
        <v>25</v>
      </c>
      <c r="E52" t="str">
        <f t="shared" si="0"/>
        <v>lake</v>
      </c>
      <c r="F52">
        <v>0</v>
      </c>
      <c r="G52">
        <v>7</v>
      </c>
      <c r="H52">
        <v>9764</v>
      </c>
      <c r="I52">
        <v>1009804</v>
      </c>
      <c r="J52">
        <v>1008855</v>
      </c>
      <c r="K52">
        <v>235586.04437799999</v>
      </c>
      <c r="L52">
        <v>1</v>
      </c>
      <c r="M52">
        <v>3478.4216019999999</v>
      </c>
      <c r="N52">
        <v>0</v>
      </c>
      <c r="O52">
        <v>0</v>
      </c>
      <c r="P52">
        <v>0</v>
      </c>
      <c r="Q52">
        <v>3019.4277619999998</v>
      </c>
      <c r="R52">
        <v>202642.49321399999</v>
      </c>
      <c r="T52" s="2">
        <v>1010847</v>
      </c>
      <c r="V52">
        <v>499037.49365199998</v>
      </c>
      <c r="W52">
        <v>499037.49365199998</v>
      </c>
    </row>
    <row r="53" spans="1:23" x14ac:dyDescent="0.25">
      <c r="A53">
        <v>52</v>
      </c>
      <c r="B53" t="s">
        <v>17</v>
      </c>
      <c r="C53">
        <v>0</v>
      </c>
      <c r="D53">
        <v>25</v>
      </c>
      <c r="E53" t="str">
        <f t="shared" si="0"/>
        <v>lake</v>
      </c>
      <c r="F53">
        <v>0</v>
      </c>
      <c r="G53">
        <v>8</v>
      </c>
      <c r="H53">
        <v>9825</v>
      </c>
      <c r="I53">
        <v>1009808</v>
      </c>
      <c r="J53">
        <v>1008924</v>
      </c>
      <c r="K53">
        <v>325505.16677000001</v>
      </c>
      <c r="L53">
        <v>1</v>
      </c>
      <c r="M53">
        <v>3718.3159209999999</v>
      </c>
      <c r="N53">
        <v>0</v>
      </c>
      <c r="O53">
        <v>0</v>
      </c>
      <c r="P53">
        <v>0</v>
      </c>
      <c r="Q53">
        <v>3696.1560020000002</v>
      </c>
      <c r="R53">
        <v>155788.82028099999</v>
      </c>
      <c r="T53" s="2">
        <v>1010848</v>
      </c>
      <c r="V53">
        <v>520619.811216</v>
      </c>
      <c r="W53">
        <v>520619.811216</v>
      </c>
    </row>
    <row r="54" spans="1:23" x14ac:dyDescent="0.25">
      <c r="A54">
        <v>53</v>
      </c>
      <c r="B54" t="s">
        <v>17</v>
      </c>
      <c r="C54">
        <v>0</v>
      </c>
      <c r="D54">
        <v>25</v>
      </c>
      <c r="E54" t="str">
        <f t="shared" si="0"/>
        <v>lake</v>
      </c>
      <c r="F54">
        <v>0</v>
      </c>
      <c r="G54">
        <v>9</v>
      </c>
      <c r="H54">
        <v>10031</v>
      </c>
      <c r="I54">
        <v>1009832</v>
      </c>
      <c r="J54">
        <v>1008855</v>
      </c>
      <c r="K54">
        <v>2223666.1798299998</v>
      </c>
      <c r="L54">
        <v>1</v>
      </c>
      <c r="M54">
        <v>7976.3524219999999</v>
      </c>
      <c r="N54">
        <v>0</v>
      </c>
      <c r="O54">
        <v>0</v>
      </c>
      <c r="P54">
        <v>0</v>
      </c>
      <c r="Q54">
        <v>7529.4467480000003</v>
      </c>
      <c r="R54">
        <v>2125419.6827480001</v>
      </c>
      <c r="T54" s="2" t="s">
        <v>22</v>
      </c>
      <c r="U54">
        <v>14220807.228470998</v>
      </c>
      <c r="V54">
        <v>17312486.756394003</v>
      </c>
      <c r="W54">
        <v>31533293.984865002</v>
      </c>
    </row>
    <row r="55" spans="1:23" x14ac:dyDescent="0.25">
      <c r="A55">
        <v>54</v>
      </c>
      <c r="B55" t="s">
        <v>17</v>
      </c>
      <c r="C55">
        <v>0</v>
      </c>
      <c r="D55">
        <v>25</v>
      </c>
      <c r="E55" t="str">
        <f t="shared" si="0"/>
        <v>lake</v>
      </c>
      <c r="F55">
        <v>0</v>
      </c>
      <c r="G55">
        <v>10</v>
      </c>
      <c r="H55">
        <v>10282</v>
      </c>
      <c r="I55">
        <v>1009840</v>
      </c>
      <c r="J55">
        <v>1008899</v>
      </c>
      <c r="K55">
        <v>2209249.6887300001</v>
      </c>
      <c r="L55">
        <v>1</v>
      </c>
      <c r="M55">
        <v>8456.0776889999997</v>
      </c>
      <c r="N55">
        <v>0</v>
      </c>
      <c r="O55">
        <v>0</v>
      </c>
      <c r="P55">
        <v>0</v>
      </c>
      <c r="Q55">
        <v>7167.5791760000002</v>
      </c>
      <c r="R55">
        <v>977371.98513199994</v>
      </c>
    </row>
    <row r="56" spans="1:23" x14ac:dyDescent="0.25">
      <c r="A56">
        <v>55</v>
      </c>
      <c r="B56" t="s">
        <v>17</v>
      </c>
      <c r="C56">
        <v>0</v>
      </c>
      <c r="D56">
        <v>25</v>
      </c>
      <c r="E56" t="str">
        <f t="shared" si="0"/>
        <v>lake</v>
      </c>
      <c r="F56">
        <v>0</v>
      </c>
      <c r="G56">
        <v>11</v>
      </c>
      <c r="H56">
        <v>10033</v>
      </c>
      <c r="I56">
        <v>1009885</v>
      </c>
      <c r="J56">
        <v>1008924</v>
      </c>
      <c r="K56">
        <v>303926.051056</v>
      </c>
      <c r="L56">
        <v>1</v>
      </c>
      <c r="M56">
        <v>4318.0508749999999</v>
      </c>
      <c r="N56">
        <v>0</v>
      </c>
      <c r="O56">
        <v>0</v>
      </c>
      <c r="P56">
        <v>0</v>
      </c>
      <c r="Q56">
        <v>2219.700957</v>
      </c>
      <c r="R56">
        <v>30365.618324999999</v>
      </c>
    </row>
    <row r="57" spans="1:23" x14ac:dyDescent="0.25">
      <c r="A57">
        <v>56</v>
      </c>
      <c r="B57" t="s">
        <v>17</v>
      </c>
      <c r="C57">
        <v>0</v>
      </c>
      <c r="D57">
        <v>25</v>
      </c>
      <c r="E57" t="str">
        <f t="shared" si="0"/>
        <v>lake</v>
      </c>
      <c r="F57">
        <v>0</v>
      </c>
      <c r="G57">
        <v>13</v>
      </c>
      <c r="H57">
        <v>10141</v>
      </c>
      <c r="I57">
        <v>1010120</v>
      </c>
      <c r="J57">
        <v>1009120</v>
      </c>
      <c r="K57">
        <v>333592.609</v>
      </c>
      <c r="L57">
        <v>1</v>
      </c>
      <c r="M57">
        <v>3058.5913409999998</v>
      </c>
      <c r="N57">
        <v>0</v>
      </c>
      <c r="O57">
        <v>0</v>
      </c>
      <c r="P57">
        <v>0</v>
      </c>
      <c r="Q57">
        <v>3058.5913409999998</v>
      </c>
      <c r="R57">
        <v>333592.609</v>
      </c>
    </row>
    <row r="58" spans="1:23" x14ac:dyDescent="0.25">
      <c r="A58">
        <v>57</v>
      </c>
      <c r="B58" t="s">
        <v>17</v>
      </c>
      <c r="C58">
        <v>0</v>
      </c>
      <c r="D58">
        <v>25</v>
      </c>
      <c r="E58" t="str">
        <f t="shared" si="0"/>
        <v>lake</v>
      </c>
      <c r="F58">
        <v>0</v>
      </c>
      <c r="G58">
        <v>14</v>
      </c>
      <c r="H58">
        <v>10032</v>
      </c>
      <c r="I58">
        <v>1010121</v>
      </c>
      <c r="J58">
        <v>1009081</v>
      </c>
      <c r="K58">
        <v>1941333.5943100001</v>
      </c>
      <c r="L58">
        <v>1</v>
      </c>
      <c r="M58">
        <v>8696.0430460000007</v>
      </c>
      <c r="N58">
        <v>0</v>
      </c>
      <c r="O58">
        <v>0</v>
      </c>
      <c r="P58">
        <v>0</v>
      </c>
      <c r="Q58">
        <v>8078.803011</v>
      </c>
      <c r="R58">
        <v>1908599.3150289999</v>
      </c>
    </row>
    <row r="59" spans="1:23" x14ac:dyDescent="0.25">
      <c r="A59">
        <v>58</v>
      </c>
      <c r="B59" t="s">
        <v>17</v>
      </c>
      <c r="C59">
        <v>0</v>
      </c>
      <c r="D59">
        <v>25</v>
      </c>
      <c r="E59" t="str">
        <f t="shared" si="0"/>
        <v>lake</v>
      </c>
      <c r="F59">
        <v>0</v>
      </c>
      <c r="G59">
        <v>15</v>
      </c>
      <c r="H59">
        <v>10113</v>
      </c>
      <c r="I59">
        <v>1010139</v>
      </c>
      <c r="J59">
        <v>1009137</v>
      </c>
      <c r="K59">
        <v>1662601.4959199999</v>
      </c>
      <c r="L59">
        <v>1</v>
      </c>
      <c r="M59">
        <v>7676.5434850000001</v>
      </c>
      <c r="N59">
        <v>0</v>
      </c>
      <c r="O59">
        <v>0</v>
      </c>
      <c r="P59">
        <v>0</v>
      </c>
      <c r="Q59">
        <v>5113.2100119999996</v>
      </c>
      <c r="R59">
        <v>669422.32531600003</v>
      </c>
    </row>
    <row r="60" spans="1:23" x14ac:dyDescent="0.25">
      <c r="A60">
        <v>59</v>
      </c>
      <c r="B60" t="s">
        <v>17</v>
      </c>
      <c r="C60">
        <v>0</v>
      </c>
      <c r="D60">
        <v>25</v>
      </c>
      <c r="E60" t="str">
        <f t="shared" si="0"/>
        <v>lake</v>
      </c>
      <c r="F60">
        <v>0</v>
      </c>
      <c r="G60">
        <v>17</v>
      </c>
      <c r="H60">
        <v>10209</v>
      </c>
      <c r="I60">
        <v>1010218</v>
      </c>
      <c r="J60">
        <v>1009214</v>
      </c>
      <c r="K60">
        <v>162749.60359000001</v>
      </c>
      <c r="L60">
        <v>1</v>
      </c>
      <c r="M60">
        <v>2218.9747419999999</v>
      </c>
      <c r="N60">
        <v>0</v>
      </c>
      <c r="O60">
        <v>0</v>
      </c>
      <c r="P60">
        <v>0</v>
      </c>
      <c r="Q60">
        <v>2218.9747419999999</v>
      </c>
      <c r="R60">
        <v>162749.60359000001</v>
      </c>
    </row>
    <row r="61" spans="1:23" x14ac:dyDescent="0.25">
      <c r="A61">
        <v>60</v>
      </c>
      <c r="B61" t="s">
        <v>17</v>
      </c>
      <c r="C61">
        <v>0</v>
      </c>
      <c r="D61">
        <v>25</v>
      </c>
      <c r="E61" t="str">
        <f t="shared" si="0"/>
        <v>lake</v>
      </c>
      <c r="F61">
        <v>0</v>
      </c>
      <c r="G61">
        <v>18</v>
      </c>
      <c r="H61">
        <v>10293</v>
      </c>
      <c r="I61">
        <v>1010219</v>
      </c>
      <c r="J61">
        <v>1009215</v>
      </c>
      <c r="K61">
        <v>1828937.2124999999</v>
      </c>
      <c r="L61">
        <v>1</v>
      </c>
      <c r="M61">
        <v>11394.820852999999</v>
      </c>
      <c r="N61">
        <v>0</v>
      </c>
      <c r="O61">
        <v>0</v>
      </c>
      <c r="P61">
        <v>0</v>
      </c>
      <c r="Q61">
        <v>9191.8975140000002</v>
      </c>
      <c r="R61">
        <v>1412739.0423679999</v>
      </c>
    </row>
    <row r="62" spans="1:23" x14ac:dyDescent="0.25">
      <c r="A62">
        <v>61</v>
      </c>
      <c r="B62" t="s">
        <v>17</v>
      </c>
      <c r="C62">
        <v>0</v>
      </c>
      <c r="D62">
        <v>25</v>
      </c>
      <c r="E62" t="str">
        <f t="shared" si="0"/>
        <v>lake</v>
      </c>
      <c r="F62">
        <v>0</v>
      </c>
      <c r="G62">
        <v>19</v>
      </c>
      <c r="H62">
        <v>10218</v>
      </c>
      <c r="I62">
        <v>1010287</v>
      </c>
      <c r="J62">
        <v>1009270</v>
      </c>
      <c r="K62">
        <v>12588.342906</v>
      </c>
      <c r="L62">
        <v>1</v>
      </c>
      <c r="M62">
        <v>599.72226499999999</v>
      </c>
      <c r="N62">
        <v>0</v>
      </c>
      <c r="O62">
        <v>0</v>
      </c>
      <c r="P62">
        <v>0</v>
      </c>
      <c r="Q62">
        <v>599.72226499999999</v>
      </c>
      <c r="R62">
        <v>12588.342906</v>
      </c>
    </row>
    <row r="63" spans="1:23" x14ac:dyDescent="0.25">
      <c r="A63">
        <v>62</v>
      </c>
      <c r="B63" t="s">
        <v>17</v>
      </c>
      <c r="C63">
        <v>0</v>
      </c>
      <c r="D63">
        <v>25</v>
      </c>
      <c r="E63" t="str">
        <f t="shared" si="0"/>
        <v>lake</v>
      </c>
      <c r="F63">
        <v>0</v>
      </c>
      <c r="G63">
        <v>20</v>
      </c>
      <c r="H63">
        <v>10326</v>
      </c>
      <c r="I63">
        <v>1010288</v>
      </c>
      <c r="J63">
        <v>1009271</v>
      </c>
      <c r="K63">
        <v>1401826.08345</v>
      </c>
      <c r="L63">
        <v>1</v>
      </c>
      <c r="M63">
        <v>12414.347123</v>
      </c>
      <c r="N63">
        <v>0</v>
      </c>
      <c r="O63">
        <v>0</v>
      </c>
      <c r="P63">
        <v>0</v>
      </c>
      <c r="Q63">
        <v>8695.5736209999995</v>
      </c>
      <c r="R63">
        <v>709164.46073799999</v>
      </c>
    </row>
    <row r="64" spans="1:23" x14ac:dyDescent="0.25">
      <c r="A64">
        <v>63</v>
      </c>
      <c r="B64" t="s">
        <v>17</v>
      </c>
      <c r="C64">
        <v>0</v>
      </c>
      <c r="D64">
        <v>25</v>
      </c>
      <c r="E64" t="str">
        <f t="shared" si="0"/>
        <v>lake</v>
      </c>
      <c r="F64">
        <v>0</v>
      </c>
      <c r="G64">
        <v>21</v>
      </c>
      <c r="H64">
        <v>10244</v>
      </c>
      <c r="I64">
        <v>1010299</v>
      </c>
      <c r="J64">
        <v>1009277</v>
      </c>
      <c r="K64">
        <v>26975.005026999999</v>
      </c>
      <c r="L64">
        <v>1</v>
      </c>
      <c r="M64">
        <v>899.58329600000002</v>
      </c>
      <c r="N64">
        <v>0</v>
      </c>
      <c r="O64">
        <v>0</v>
      </c>
      <c r="P64">
        <v>0</v>
      </c>
      <c r="Q64">
        <v>899.58329600000002</v>
      </c>
      <c r="R64">
        <v>26975.005026999999</v>
      </c>
    </row>
    <row r="65" spans="1:18" x14ac:dyDescent="0.25">
      <c r="A65">
        <v>64</v>
      </c>
      <c r="B65" t="s">
        <v>17</v>
      </c>
      <c r="C65">
        <v>0</v>
      </c>
      <c r="D65">
        <v>25</v>
      </c>
      <c r="E65" t="str">
        <f t="shared" si="0"/>
        <v>lake</v>
      </c>
      <c r="F65">
        <v>0</v>
      </c>
      <c r="G65">
        <v>22</v>
      </c>
      <c r="H65">
        <v>10219</v>
      </c>
      <c r="I65">
        <v>1010300</v>
      </c>
      <c r="J65">
        <v>1009278</v>
      </c>
      <c r="K65">
        <v>811054.57942700002</v>
      </c>
      <c r="L65">
        <v>1</v>
      </c>
      <c r="M65">
        <v>7436.5907550000002</v>
      </c>
      <c r="N65">
        <v>0</v>
      </c>
      <c r="O65">
        <v>0</v>
      </c>
      <c r="P65">
        <v>0</v>
      </c>
      <c r="Q65">
        <v>6735.7128460000004</v>
      </c>
      <c r="R65">
        <v>730078.00325199997</v>
      </c>
    </row>
    <row r="66" spans="1:18" x14ac:dyDescent="0.25">
      <c r="A66">
        <v>65</v>
      </c>
      <c r="B66" t="s">
        <v>17</v>
      </c>
      <c r="C66">
        <v>0</v>
      </c>
      <c r="D66">
        <v>25</v>
      </c>
      <c r="E66" t="str">
        <f t="shared" si="0"/>
        <v>lake</v>
      </c>
      <c r="F66">
        <v>0</v>
      </c>
      <c r="G66">
        <v>23</v>
      </c>
      <c r="H66">
        <v>10312</v>
      </c>
      <c r="I66">
        <v>1010301</v>
      </c>
      <c r="J66">
        <v>1009279</v>
      </c>
      <c r="K66">
        <v>425314.40753199998</v>
      </c>
      <c r="L66">
        <v>1</v>
      </c>
      <c r="M66">
        <v>5097.6897749999998</v>
      </c>
      <c r="N66">
        <v>0</v>
      </c>
      <c r="O66">
        <v>0</v>
      </c>
      <c r="P66">
        <v>0</v>
      </c>
      <c r="Q66">
        <v>3169.7977099999998</v>
      </c>
      <c r="R66">
        <v>184996.35299300001</v>
      </c>
    </row>
    <row r="67" spans="1:18" x14ac:dyDescent="0.25">
      <c r="A67">
        <v>66</v>
      </c>
      <c r="B67" t="s">
        <v>17</v>
      </c>
      <c r="C67">
        <v>0</v>
      </c>
      <c r="D67">
        <v>25</v>
      </c>
      <c r="E67" t="str">
        <f t="shared" ref="E67:E79" si="1">IF(D67=0,"land","lake")</f>
        <v>lake</v>
      </c>
      <c r="F67">
        <v>0</v>
      </c>
      <c r="G67">
        <v>24</v>
      </c>
      <c r="H67">
        <v>10311</v>
      </c>
      <c r="I67">
        <v>1010306</v>
      </c>
      <c r="J67">
        <v>1009285</v>
      </c>
      <c r="K67">
        <v>133978.16968799999</v>
      </c>
      <c r="L67">
        <v>1</v>
      </c>
      <c r="M67">
        <v>2039.0727979999999</v>
      </c>
      <c r="N67">
        <v>0</v>
      </c>
      <c r="O67">
        <v>0</v>
      </c>
      <c r="P67">
        <v>0</v>
      </c>
      <c r="Q67">
        <v>1710.2440779999999</v>
      </c>
      <c r="R67">
        <v>68642.092235000004</v>
      </c>
    </row>
    <row r="68" spans="1:18" x14ac:dyDescent="0.25">
      <c r="A68">
        <v>67</v>
      </c>
      <c r="B68" t="s">
        <v>17</v>
      </c>
      <c r="C68">
        <v>0</v>
      </c>
      <c r="D68">
        <v>25</v>
      </c>
      <c r="E68" t="str">
        <f t="shared" si="1"/>
        <v>lake</v>
      </c>
      <c r="F68">
        <v>0</v>
      </c>
      <c r="G68">
        <v>25</v>
      </c>
      <c r="H68">
        <v>10283</v>
      </c>
      <c r="I68">
        <v>1010326</v>
      </c>
      <c r="J68">
        <v>1009302</v>
      </c>
      <c r="K68">
        <v>33269.157705999998</v>
      </c>
      <c r="L68">
        <v>1</v>
      </c>
      <c r="M68">
        <v>959.55530199999998</v>
      </c>
      <c r="N68">
        <v>0</v>
      </c>
      <c r="O68">
        <v>0</v>
      </c>
      <c r="P68">
        <v>0</v>
      </c>
      <c r="Q68">
        <v>959.55530199999998</v>
      </c>
      <c r="R68">
        <v>33269.157704999998</v>
      </c>
    </row>
    <row r="69" spans="1:18" x14ac:dyDescent="0.25">
      <c r="A69">
        <v>68</v>
      </c>
      <c r="B69" t="s">
        <v>17</v>
      </c>
      <c r="C69">
        <v>0</v>
      </c>
      <c r="D69">
        <v>25</v>
      </c>
      <c r="E69" t="str">
        <f t="shared" si="1"/>
        <v>lake</v>
      </c>
      <c r="F69">
        <v>0</v>
      </c>
      <c r="G69">
        <v>27</v>
      </c>
      <c r="H69">
        <v>10292</v>
      </c>
      <c r="I69">
        <v>1010350</v>
      </c>
      <c r="J69">
        <v>1009342</v>
      </c>
      <c r="K69">
        <v>6294.1556890000002</v>
      </c>
      <c r="L69">
        <v>1</v>
      </c>
      <c r="M69">
        <v>359.83313800000002</v>
      </c>
      <c r="N69">
        <v>0</v>
      </c>
      <c r="O69">
        <v>0</v>
      </c>
      <c r="P69">
        <v>0</v>
      </c>
      <c r="Q69">
        <v>359.83313800000002</v>
      </c>
      <c r="R69">
        <v>6294.1556890000002</v>
      </c>
    </row>
    <row r="70" spans="1:18" x14ac:dyDescent="0.25">
      <c r="A70">
        <v>69</v>
      </c>
      <c r="B70" t="s">
        <v>17</v>
      </c>
      <c r="C70">
        <v>0</v>
      </c>
      <c r="D70">
        <v>25</v>
      </c>
      <c r="E70" t="str">
        <f t="shared" si="1"/>
        <v>lake</v>
      </c>
      <c r="F70">
        <v>0</v>
      </c>
      <c r="G70">
        <v>28</v>
      </c>
      <c r="H70">
        <v>10394</v>
      </c>
      <c r="I70">
        <v>1010359</v>
      </c>
      <c r="J70">
        <v>1009342</v>
      </c>
      <c r="K70">
        <v>311110.45064200001</v>
      </c>
      <c r="L70">
        <v>1</v>
      </c>
      <c r="M70">
        <v>3118.5481239999999</v>
      </c>
      <c r="N70">
        <v>0</v>
      </c>
      <c r="O70">
        <v>0</v>
      </c>
      <c r="P70">
        <v>0</v>
      </c>
      <c r="Q70">
        <v>1408.560244</v>
      </c>
      <c r="R70">
        <v>64716.647529000002</v>
      </c>
    </row>
    <row r="71" spans="1:18" x14ac:dyDescent="0.25">
      <c r="A71">
        <v>70</v>
      </c>
      <c r="B71" t="s">
        <v>17</v>
      </c>
      <c r="C71">
        <v>0</v>
      </c>
      <c r="D71">
        <v>25</v>
      </c>
      <c r="E71" t="str">
        <f t="shared" si="1"/>
        <v>lake</v>
      </c>
      <c r="F71">
        <v>0</v>
      </c>
      <c r="G71">
        <v>29</v>
      </c>
      <c r="H71">
        <v>10299</v>
      </c>
      <c r="I71">
        <v>1010360</v>
      </c>
      <c r="J71">
        <v>1009354</v>
      </c>
      <c r="K71">
        <v>22479.141538</v>
      </c>
      <c r="L71">
        <v>1</v>
      </c>
      <c r="M71">
        <v>959.55490099999997</v>
      </c>
      <c r="N71">
        <v>0</v>
      </c>
      <c r="O71">
        <v>0</v>
      </c>
      <c r="P71">
        <v>0</v>
      </c>
      <c r="Q71">
        <v>959.55490099999997</v>
      </c>
      <c r="R71">
        <v>22479.141538</v>
      </c>
    </row>
    <row r="72" spans="1:18" x14ac:dyDescent="0.25">
      <c r="A72">
        <v>71</v>
      </c>
      <c r="B72" t="s">
        <v>17</v>
      </c>
      <c r="C72">
        <v>0</v>
      </c>
      <c r="D72">
        <v>25</v>
      </c>
      <c r="E72" t="str">
        <f t="shared" si="1"/>
        <v>lake</v>
      </c>
      <c r="F72">
        <v>0</v>
      </c>
      <c r="G72">
        <v>30</v>
      </c>
      <c r="H72">
        <v>10439</v>
      </c>
      <c r="I72">
        <v>1010366</v>
      </c>
      <c r="J72">
        <v>1009362</v>
      </c>
      <c r="K72">
        <v>1623010.61307</v>
      </c>
      <c r="L72">
        <v>1</v>
      </c>
      <c r="M72">
        <v>10195.323087999999</v>
      </c>
      <c r="N72">
        <v>0</v>
      </c>
      <c r="O72">
        <v>0</v>
      </c>
      <c r="P72">
        <v>0</v>
      </c>
      <c r="Q72">
        <v>6711.6050150000001</v>
      </c>
      <c r="R72">
        <v>961406.46718200005</v>
      </c>
    </row>
    <row r="73" spans="1:18" x14ac:dyDescent="0.25">
      <c r="A73">
        <v>72</v>
      </c>
      <c r="B73" t="s">
        <v>17</v>
      </c>
      <c r="C73">
        <v>0</v>
      </c>
      <c r="D73">
        <v>25</v>
      </c>
      <c r="E73" t="str">
        <f t="shared" si="1"/>
        <v>lake</v>
      </c>
      <c r="F73">
        <v>0</v>
      </c>
      <c r="G73">
        <v>32</v>
      </c>
      <c r="H73">
        <v>10338</v>
      </c>
      <c r="I73">
        <v>1010371</v>
      </c>
      <c r="J73">
        <v>1009407</v>
      </c>
      <c r="K73">
        <v>66538.247600000002</v>
      </c>
      <c r="L73">
        <v>1</v>
      </c>
      <c r="M73">
        <v>1379.360142</v>
      </c>
      <c r="N73">
        <v>0</v>
      </c>
      <c r="O73">
        <v>0</v>
      </c>
      <c r="P73">
        <v>0</v>
      </c>
      <c r="Q73">
        <v>1379.0905130000001</v>
      </c>
      <c r="R73">
        <v>61574.252149</v>
      </c>
    </row>
    <row r="74" spans="1:18" x14ac:dyDescent="0.25">
      <c r="A74">
        <v>73</v>
      </c>
      <c r="B74" t="s">
        <v>17</v>
      </c>
      <c r="C74">
        <v>0</v>
      </c>
      <c r="D74">
        <v>25</v>
      </c>
      <c r="E74" t="str">
        <f t="shared" si="1"/>
        <v>lake</v>
      </c>
      <c r="F74">
        <v>0</v>
      </c>
      <c r="G74">
        <v>33</v>
      </c>
      <c r="H74">
        <v>10482</v>
      </c>
      <c r="I74">
        <v>1010387</v>
      </c>
      <c r="J74">
        <v>1009369</v>
      </c>
      <c r="K74">
        <v>284141.21308399999</v>
      </c>
      <c r="L74">
        <v>1</v>
      </c>
      <c r="M74">
        <v>3118.5801879999999</v>
      </c>
      <c r="N74">
        <v>0</v>
      </c>
      <c r="O74">
        <v>0</v>
      </c>
      <c r="P74">
        <v>0</v>
      </c>
      <c r="Q74">
        <v>452.38806399999999</v>
      </c>
      <c r="R74">
        <v>5171.0645439999998</v>
      </c>
    </row>
    <row r="75" spans="1:18" x14ac:dyDescent="0.25">
      <c r="A75">
        <v>74</v>
      </c>
      <c r="B75" t="s">
        <v>17</v>
      </c>
      <c r="C75">
        <v>0</v>
      </c>
      <c r="D75">
        <v>25</v>
      </c>
      <c r="E75" t="str">
        <f t="shared" si="1"/>
        <v>lake</v>
      </c>
      <c r="F75">
        <v>0</v>
      </c>
      <c r="G75">
        <v>34</v>
      </c>
      <c r="H75">
        <v>10456</v>
      </c>
      <c r="I75">
        <v>1010388</v>
      </c>
      <c r="J75">
        <v>1009370</v>
      </c>
      <c r="K75">
        <v>445096.22644200001</v>
      </c>
      <c r="L75">
        <v>1</v>
      </c>
      <c r="M75">
        <v>4677.8797210000002</v>
      </c>
      <c r="N75">
        <v>0</v>
      </c>
      <c r="O75">
        <v>0</v>
      </c>
      <c r="P75">
        <v>0</v>
      </c>
      <c r="Q75">
        <v>980.37584900000002</v>
      </c>
      <c r="R75">
        <v>26920.781835000002</v>
      </c>
    </row>
    <row r="76" spans="1:18" x14ac:dyDescent="0.25">
      <c r="A76">
        <v>75</v>
      </c>
      <c r="B76" t="s">
        <v>17</v>
      </c>
      <c r="C76">
        <v>0</v>
      </c>
      <c r="D76">
        <v>25</v>
      </c>
      <c r="E76" t="str">
        <f t="shared" si="1"/>
        <v>lake</v>
      </c>
      <c r="F76">
        <v>0</v>
      </c>
      <c r="G76">
        <v>38</v>
      </c>
      <c r="H76">
        <v>10412</v>
      </c>
      <c r="I76">
        <v>1010423</v>
      </c>
      <c r="J76">
        <v>1009413</v>
      </c>
      <c r="K76">
        <v>403724.58460399997</v>
      </c>
      <c r="L76">
        <v>1</v>
      </c>
      <c r="M76">
        <v>3478.3828480000002</v>
      </c>
      <c r="N76">
        <v>0</v>
      </c>
      <c r="O76">
        <v>0</v>
      </c>
      <c r="P76">
        <v>0</v>
      </c>
      <c r="Q76">
        <v>839.11886300000003</v>
      </c>
      <c r="R76">
        <v>15186.821263</v>
      </c>
    </row>
    <row r="77" spans="1:18" x14ac:dyDescent="0.25">
      <c r="A77">
        <v>76</v>
      </c>
      <c r="B77" t="s">
        <v>17</v>
      </c>
      <c r="C77">
        <v>0</v>
      </c>
      <c r="D77">
        <v>25</v>
      </c>
      <c r="E77" t="str">
        <f t="shared" si="1"/>
        <v>lake</v>
      </c>
      <c r="F77">
        <v>0</v>
      </c>
      <c r="G77">
        <v>39</v>
      </c>
      <c r="H77">
        <v>10401</v>
      </c>
      <c r="I77">
        <v>1010424</v>
      </c>
      <c r="J77">
        <v>1009465</v>
      </c>
      <c r="K77">
        <v>191522.43302999999</v>
      </c>
      <c r="L77">
        <v>1</v>
      </c>
      <c r="M77">
        <v>3058.5816049999999</v>
      </c>
      <c r="N77">
        <v>0</v>
      </c>
      <c r="O77">
        <v>0</v>
      </c>
      <c r="P77">
        <v>0</v>
      </c>
      <c r="Q77">
        <v>1830.729155</v>
      </c>
      <c r="R77">
        <v>115179.638162</v>
      </c>
    </row>
    <row r="78" spans="1:18" x14ac:dyDescent="0.25">
      <c r="A78">
        <v>77</v>
      </c>
      <c r="B78" t="s">
        <v>17</v>
      </c>
      <c r="C78">
        <v>0</v>
      </c>
      <c r="D78">
        <v>25</v>
      </c>
      <c r="E78" t="str">
        <f t="shared" si="1"/>
        <v>lake</v>
      </c>
      <c r="F78">
        <v>0</v>
      </c>
      <c r="G78">
        <v>42</v>
      </c>
      <c r="H78">
        <v>10600</v>
      </c>
      <c r="I78">
        <v>1010474</v>
      </c>
      <c r="J78">
        <v>1009459</v>
      </c>
      <c r="K78">
        <v>1544781.51786</v>
      </c>
      <c r="L78">
        <v>1</v>
      </c>
      <c r="M78">
        <v>8276.1986730000008</v>
      </c>
      <c r="N78">
        <v>0</v>
      </c>
      <c r="O78">
        <v>0</v>
      </c>
      <c r="P78">
        <v>0</v>
      </c>
      <c r="Q78">
        <v>4389.8172070000001</v>
      </c>
      <c r="R78">
        <v>441901.39930699999</v>
      </c>
    </row>
    <row r="79" spans="1:18" x14ac:dyDescent="0.25">
      <c r="A79">
        <v>78</v>
      </c>
      <c r="B79" t="s">
        <v>17</v>
      </c>
      <c r="C79">
        <v>0</v>
      </c>
      <c r="D79">
        <v>25</v>
      </c>
      <c r="E79" t="str">
        <f t="shared" si="1"/>
        <v>lake</v>
      </c>
      <c r="F79">
        <v>0</v>
      </c>
      <c r="G79">
        <v>43</v>
      </c>
      <c r="H79">
        <v>10593</v>
      </c>
      <c r="I79">
        <v>1010490</v>
      </c>
      <c r="J79">
        <v>1009466</v>
      </c>
      <c r="K79">
        <v>1010666.12703</v>
      </c>
      <c r="L79">
        <v>1</v>
      </c>
      <c r="M79">
        <v>5277.5622009999997</v>
      </c>
      <c r="N79">
        <v>0</v>
      </c>
      <c r="O79">
        <v>0</v>
      </c>
      <c r="P79">
        <v>0</v>
      </c>
      <c r="Q79">
        <v>3907.3644100000001</v>
      </c>
      <c r="R79">
        <v>271755.80299300002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8E29-46D0-4031-B7E8-E0EC3593E9DA}">
  <dimension ref="A1:BY727"/>
  <sheetViews>
    <sheetView tabSelected="1" topLeftCell="AT1" workbookViewId="0">
      <selection activeCell="BY23" sqref="BY23"/>
    </sheetView>
  </sheetViews>
  <sheetFormatPr defaultRowHeight="15" x14ac:dyDescent="0.25"/>
  <cols>
    <col min="4" max="4" width="17.7109375" bestFit="1" customWidth="1"/>
    <col min="33" max="33" width="13.42578125" bestFit="1" customWidth="1"/>
    <col min="34" max="34" width="13.140625" bestFit="1" customWidth="1"/>
    <col min="35" max="49" width="18.85546875" bestFit="1" customWidth="1"/>
    <col min="50" max="50" width="11.28515625" bestFit="1" customWidth="1"/>
    <col min="51" max="53" width="11.28515625" customWidth="1"/>
    <col min="54" max="54" width="9.5703125" bestFit="1" customWidth="1"/>
    <col min="56" max="56" width="13.140625" bestFit="1" customWidth="1"/>
    <col min="57" max="71" width="21" bestFit="1" customWidth="1"/>
    <col min="72" max="72" width="11.28515625" style="9" bestFit="1" customWidth="1"/>
    <col min="73" max="74" width="11.28515625" customWidth="1"/>
  </cols>
  <sheetData>
    <row r="1" spans="1:77" x14ac:dyDescent="0.25">
      <c r="A1" t="s">
        <v>7</v>
      </c>
      <c r="B1" t="s">
        <v>56</v>
      </c>
      <c r="C1" t="s">
        <v>58</v>
      </c>
      <c r="D1" t="s">
        <v>59</v>
      </c>
      <c r="E1" t="s">
        <v>43</v>
      </c>
      <c r="F1" t="s">
        <v>47</v>
      </c>
      <c r="G1" t="s">
        <v>42</v>
      </c>
      <c r="H1" t="s">
        <v>44</v>
      </c>
      <c r="I1" t="s">
        <v>48</v>
      </c>
      <c r="J1" t="s">
        <v>45</v>
      </c>
      <c r="K1" t="s">
        <v>46</v>
      </c>
      <c r="L1" t="s">
        <v>33</v>
      </c>
      <c r="M1" t="s">
        <v>37</v>
      </c>
      <c r="N1" t="s">
        <v>49</v>
      </c>
      <c r="O1" t="s">
        <v>50</v>
      </c>
      <c r="P1" t="s">
        <v>51</v>
      </c>
      <c r="Q1" t="s">
        <v>36</v>
      </c>
      <c r="R1" t="s">
        <v>35</v>
      </c>
      <c r="S1" t="s">
        <v>34</v>
      </c>
      <c r="T1" t="s">
        <v>52</v>
      </c>
      <c r="U1" t="s">
        <v>38</v>
      </c>
      <c r="V1" t="s">
        <v>40</v>
      </c>
      <c r="W1" t="s">
        <v>41</v>
      </c>
      <c r="X1" t="s">
        <v>39</v>
      </c>
      <c r="Y1" t="s">
        <v>54</v>
      </c>
      <c r="Z1" t="s">
        <v>55</v>
      </c>
      <c r="AA1" t="s">
        <v>5</v>
      </c>
      <c r="AB1" t="s">
        <v>57</v>
      </c>
      <c r="AC1" t="s">
        <v>15</v>
      </c>
      <c r="AD1" t="s">
        <v>16</v>
      </c>
      <c r="AE1" t="s">
        <v>53</v>
      </c>
      <c r="AG1" t="s">
        <v>61</v>
      </c>
      <c r="BC1" t="s">
        <v>62</v>
      </c>
    </row>
    <row r="2" spans="1:77" x14ac:dyDescent="0.25">
      <c r="A2">
        <v>1010462</v>
      </c>
      <c r="B2">
        <v>10414</v>
      </c>
      <c r="C2" t="s">
        <v>43</v>
      </c>
      <c r="D2" t="str">
        <f>IF(Y2=0,C2,"WATER")</f>
        <v>NAT_FOR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f>IF(Y2=0,"NotLake","Lake")</f>
        <v>NotLake</v>
      </c>
      <c r="AA2">
        <v>41</v>
      </c>
      <c r="AB2">
        <v>1152767.33971</v>
      </c>
      <c r="AC2">
        <v>504.37040300000001</v>
      </c>
      <c r="AD2">
        <v>8222.3341240000009</v>
      </c>
      <c r="AE2">
        <v>8.2220000000000001E-3</v>
      </c>
    </row>
    <row r="3" spans="1:77" x14ac:dyDescent="0.25">
      <c r="A3">
        <v>1010344</v>
      </c>
      <c r="B3">
        <v>10142</v>
      </c>
      <c r="C3" t="s">
        <v>43</v>
      </c>
      <c r="D3" t="str">
        <f t="shared" ref="D3:D66" si="0">IF(Y3=0,C3,"WATER")</f>
        <v>NAT_FOR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f t="shared" ref="Z3:Z66" si="1">IF(Y3=0,"NotLake","Lake")</f>
        <v>NotLake</v>
      </c>
      <c r="AA3">
        <v>26</v>
      </c>
      <c r="AB3">
        <v>583577.16153899999</v>
      </c>
      <c r="AC3">
        <v>369.74943999999999</v>
      </c>
      <c r="AD3">
        <v>4948.8455469999999</v>
      </c>
      <c r="AE3">
        <v>4.9490000000000003E-3</v>
      </c>
      <c r="AG3" s="1" t="s">
        <v>60</v>
      </c>
      <c r="AI3" s="1" t="s">
        <v>58</v>
      </c>
      <c r="BC3" s="1" t="s">
        <v>60</v>
      </c>
      <c r="BE3" s="1" t="s">
        <v>59</v>
      </c>
    </row>
    <row r="4" spans="1:77" x14ac:dyDescent="0.25">
      <c r="A4">
        <v>1010462</v>
      </c>
      <c r="B4">
        <v>10414</v>
      </c>
      <c r="C4" t="s">
        <v>43</v>
      </c>
      <c r="D4" t="str">
        <f t="shared" si="0"/>
        <v>NAT_FOR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f t="shared" si="1"/>
        <v>NotLake</v>
      </c>
      <c r="AA4">
        <v>41</v>
      </c>
      <c r="AB4">
        <v>1152767.33971</v>
      </c>
      <c r="AC4">
        <v>85.749804999999995</v>
      </c>
      <c r="AD4">
        <v>211.01742200000001</v>
      </c>
      <c r="AE4">
        <v>2.1100000000000001E-4</v>
      </c>
      <c r="AG4" s="1" t="s">
        <v>56</v>
      </c>
      <c r="AH4" s="1" t="s">
        <v>7</v>
      </c>
      <c r="AI4" t="s">
        <v>40</v>
      </c>
      <c r="AJ4" t="s">
        <v>33</v>
      </c>
      <c r="AK4" t="s">
        <v>52</v>
      </c>
      <c r="AL4" t="s">
        <v>43</v>
      </c>
      <c r="AM4" t="s">
        <v>38</v>
      </c>
      <c r="AN4" t="s">
        <v>47</v>
      </c>
      <c r="AO4" t="s">
        <v>49</v>
      </c>
      <c r="AP4" t="s">
        <v>42</v>
      </c>
      <c r="AQ4" t="s">
        <v>35</v>
      </c>
      <c r="AR4" t="s">
        <v>34</v>
      </c>
      <c r="AS4" t="s">
        <v>44</v>
      </c>
      <c r="AT4" t="s">
        <v>50</v>
      </c>
      <c r="AU4" t="s">
        <v>51</v>
      </c>
      <c r="AV4" t="s">
        <v>45</v>
      </c>
      <c r="AW4" t="s">
        <v>46</v>
      </c>
      <c r="AX4" t="s">
        <v>22</v>
      </c>
      <c r="AY4" t="s">
        <v>65</v>
      </c>
      <c r="AZ4" t="s">
        <v>66</v>
      </c>
      <c r="BC4" s="1" t="s">
        <v>56</v>
      </c>
      <c r="BD4" s="1" t="s">
        <v>7</v>
      </c>
      <c r="BE4" t="s">
        <v>40</v>
      </c>
      <c r="BF4" t="s">
        <v>33</v>
      </c>
      <c r="BG4" t="s">
        <v>52</v>
      </c>
      <c r="BH4" t="s">
        <v>43</v>
      </c>
      <c r="BI4" t="s">
        <v>38</v>
      </c>
      <c r="BJ4" t="s">
        <v>47</v>
      </c>
      <c r="BK4" t="s">
        <v>49</v>
      </c>
      <c r="BL4" t="s">
        <v>42</v>
      </c>
      <c r="BM4" t="s">
        <v>35</v>
      </c>
      <c r="BN4" t="s">
        <v>34</v>
      </c>
      <c r="BO4" t="s">
        <v>44</v>
      </c>
      <c r="BP4" t="s">
        <v>50</v>
      </c>
      <c r="BQ4" t="s">
        <v>51</v>
      </c>
      <c r="BR4" t="s">
        <v>45</v>
      </c>
      <c r="BS4" t="s">
        <v>46</v>
      </c>
      <c r="BT4" s="9" t="s">
        <v>22</v>
      </c>
      <c r="BU4" t="s">
        <v>65</v>
      </c>
      <c r="BV4" t="s">
        <v>66</v>
      </c>
      <c r="BW4" t="s">
        <v>67</v>
      </c>
      <c r="BY4" t="s">
        <v>69</v>
      </c>
    </row>
    <row r="5" spans="1:77" x14ac:dyDescent="0.25">
      <c r="A5">
        <v>1010367</v>
      </c>
      <c r="B5">
        <v>10416</v>
      </c>
      <c r="C5" t="s">
        <v>43</v>
      </c>
      <c r="D5" t="str">
        <f t="shared" si="0"/>
        <v>NAT_FOR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f t="shared" si="1"/>
        <v>NotLake</v>
      </c>
      <c r="AA5">
        <v>31</v>
      </c>
      <c r="AB5">
        <v>243680.39809999999</v>
      </c>
      <c r="AC5">
        <v>130.90799999999999</v>
      </c>
      <c r="AD5">
        <v>1091.353224</v>
      </c>
      <c r="AE5">
        <v>1.091E-3</v>
      </c>
      <c r="AG5">
        <v>9454</v>
      </c>
      <c r="AH5">
        <v>1009647</v>
      </c>
      <c r="AR5">
        <v>0.13902399999999998</v>
      </c>
      <c r="AU5">
        <v>7.1663000000000004E-2</v>
      </c>
      <c r="AW5">
        <v>0.20653100000000002</v>
      </c>
      <c r="AX5">
        <v>0.41721799999999998</v>
      </c>
      <c r="AY5" s="8">
        <f>AW5*100</f>
        <v>20.653100000000002</v>
      </c>
      <c r="AZ5" s="8">
        <f>AX5*100-AY5</f>
        <v>21.068699999999993</v>
      </c>
      <c r="BB5" s="4"/>
      <c r="BC5">
        <v>9454</v>
      </c>
      <c r="BD5">
        <v>1009647</v>
      </c>
      <c r="BN5">
        <v>0.13902399999999998</v>
      </c>
      <c r="BQ5">
        <v>7.1663000000000004E-2</v>
      </c>
      <c r="BS5">
        <v>0.20653100000000002</v>
      </c>
      <c r="BT5" s="9">
        <v>0.41721799999999998</v>
      </c>
      <c r="BU5" s="8">
        <f>BS5*100</f>
        <v>20.653100000000002</v>
      </c>
      <c r="BV5" s="8">
        <f>BT5*100-BU5</f>
        <v>21.068699999999993</v>
      </c>
      <c r="BW5" s="8">
        <f>BU5-AY5</f>
        <v>0</v>
      </c>
      <c r="BY5">
        <f>(BF5+BK5+BM5+BN5)*100</f>
        <v>13.902399999999998</v>
      </c>
    </row>
    <row r="6" spans="1:77" x14ac:dyDescent="0.25">
      <c r="A6">
        <v>1010398</v>
      </c>
      <c r="B6">
        <v>10415</v>
      </c>
      <c r="C6" t="s">
        <v>43</v>
      </c>
      <c r="D6" t="str">
        <f t="shared" si="0"/>
        <v>NAT_FOR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f t="shared" si="1"/>
        <v>NotLake</v>
      </c>
      <c r="AA6">
        <v>35</v>
      </c>
      <c r="AB6">
        <v>212209.53551300001</v>
      </c>
      <c r="AC6">
        <v>318.837335</v>
      </c>
      <c r="AD6">
        <v>5799.6896200000001</v>
      </c>
      <c r="AE6">
        <v>5.7999999999999996E-3</v>
      </c>
      <c r="AG6">
        <v>9479</v>
      </c>
      <c r="AH6">
        <v>1009699</v>
      </c>
      <c r="AR6">
        <v>0.128994</v>
      </c>
      <c r="AU6">
        <v>2.9921E-2</v>
      </c>
      <c r="AW6">
        <v>9.5552999999999999E-2</v>
      </c>
      <c r="AX6">
        <v>0.25446800000000003</v>
      </c>
      <c r="AY6" s="8">
        <f t="shared" ref="AY6:AY55" si="2">AW6*100</f>
        <v>9.555299999999999</v>
      </c>
      <c r="AZ6" s="8">
        <f t="shared" ref="AZ6:AZ55" si="3">AX6*100-AY6</f>
        <v>15.891500000000004</v>
      </c>
      <c r="BB6" s="4"/>
      <c r="BC6">
        <v>9479</v>
      </c>
      <c r="BD6">
        <v>1009699</v>
      </c>
      <c r="BN6">
        <v>0.128994</v>
      </c>
      <c r="BQ6">
        <v>2.9921E-2</v>
      </c>
      <c r="BS6">
        <v>9.5552999999999999E-2</v>
      </c>
      <c r="BT6" s="9">
        <v>0.25446800000000003</v>
      </c>
      <c r="BU6" s="8">
        <f t="shared" ref="BU6:BU55" si="4">BS6*100</f>
        <v>9.555299999999999</v>
      </c>
      <c r="BV6" s="8">
        <f t="shared" ref="BV6:BV55" si="5">BT6*100-BU6</f>
        <v>15.891500000000004</v>
      </c>
      <c r="BW6" s="8">
        <f t="shared" ref="BW6:BW69" si="6">BU6-AY6</f>
        <v>0</v>
      </c>
      <c r="BY6">
        <f t="shared" ref="BY6:BY55" si="7">(BF6+BK6+BM6+BN6)*100</f>
        <v>12.8994</v>
      </c>
    </row>
    <row r="7" spans="1:77" x14ac:dyDescent="0.25">
      <c r="A7">
        <v>1010404</v>
      </c>
      <c r="B7">
        <v>10182</v>
      </c>
      <c r="C7" t="s">
        <v>43</v>
      </c>
      <c r="D7" t="str">
        <f t="shared" si="0"/>
        <v>NAT_FOR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f t="shared" si="1"/>
        <v>NotLake</v>
      </c>
      <c r="AA7">
        <v>36</v>
      </c>
      <c r="AB7">
        <v>222100.20581799999</v>
      </c>
      <c r="AC7">
        <v>121.351116</v>
      </c>
      <c r="AD7">
        <v>554.32057799999995</v>
      </c>
      <c r="AE7">
        <v>5.5400000000000002E-4</v>
      </c>
      <c r="AG7">
        <v>9480</v>
      </c>
      <c r="AH7">
        <v>1009698</v>
      </c>
      <c r="AJ7">
        <v>0.39502999999999999</v>
      </c>
      <c r="AL7">
        <v>2.8233000000000001E-2</v>
      </c>
      <c r="AP7">
        <v>1.8196E-2</v>
      </c>
      <c r="AR7">
        <v>2.0663000000000001E-2</v>
      </c>
      <c r="AS7">
        <v>2.2369999999999998E-3</v>
      </c>
      <c r="AU7">
        <v>0.147977</v>
      </c>
      <c r="AV7">
        <v>6.6600000000000003E-4</v>
      </c>
      <c r="AW7">
        <v>2.0008910000000002</v>
      </c>
      <c r="AX7">
        <v>2.613893</v>
      </c>
      <c r="AY7" s="8">
        <f t="shared" si="2"/>
        <v>200.08910000000003</v>
      </c>
      <c r="AZ7" s="8">
        <f t="shared" si="3"/>
        <v>61.300199999999961</v>
      </c>
      <c r="BB7" s="4"/>
      <c r="BC7">
        <v>9480</v>
      </c>
      <c r="BD7">
        <v>1009698</v>
      </c>
      <c r="BF7">
        <v>0.357603</v>
      </c>
      <c r="BH7">
        <v>1.9036000000000001E-2</v>
      </c>
      <c r="BL7">
        <v>1.6077000000000001E-2</v>
      </c>
      <c r="BN7">
        <v>5.4860000000000004E-3</v>
      </c>
      <c r="BO7">
        <v>2.2369999999999998E-3</v>
      </c>
      <c r="BQ7">
        <v>0.14625299999999999</v>
      </c>
      <c r="BR7">
        <v>6.6600000000000003E-4</v>
      </c>
      <c r="BS7">
        <v>2.066535</v>
      </c>
      <c r="BT7" s="9">
        <v>2.613893</v>
      </c>
      <c r="BU7" s="8">
        <f t="shared" si="4"/>
        <v>206.65350000000001</v>
      </c>
      <c r="BV7" s="8">
        <f t="shared" si="5"/>
        <v>54.735799999999983</v>
      </c>
      <c r="BW7" s="8">
        <f t="shared" si="6"/>
        <v>6.5643999999999778</v>
      </c>
      <c r="BY7">
        <f t="shared" si="7"/>
        <v>36.308900000000001</v>
      </c>
    </row>
    <row r="8" spans="1:77" x14ac:dyDescent="0.25">
      <c r="A8">
        <v>1010462</v>
      </c>
      <c r="B8">
        <v>10414</v>
      </c>
      <c r="C8" t="s">
        <v>43</v>
      </c>
      <c r="D8" t="str">
        <f t="shared" si="0"/>
        <v>NAT_FOR</v>
      </c>
      <c r="E8">
        <v>100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f t="shared" si="1"/>
        <v>NotLake</v>
      </c>
      <c r="AA8">
        <v>41</v>
      </c>
      <c r="AB8">
        <v>1152767.33971</v>
      </c>
      <c r="AC8">
        <v>386.46973600000001</v>
      </c>
      <c r="AD8">
        <v>5980.1632550000004</v>
      </c>
      <c r="AE8">
        <v>5.9800000000000001E-3</v>
      </c>
      <c r="AG8">
        <v>9526</v>
      </c>
      <c r="AH8">
        <v>1009728</v>
      </c>
      <c r="AJ8">
        <v>0.12696499999999999</v>
      </c>
      <c r="AL8">
        <v>8.7500000000000002E-4</v>
      </c>
      <c r="AN8">
        <v>1.0669999999999998E-3</v>
      </c>
      <c r="AR8">
        <v>0.180227</v>
      </c>
      <c r="AT8">
        <v>1.5100000000000001E-3</v>
      </c>
      <c r="AW8">
        <v>7.6670000000000002E-3</v>
      </c>
      <c r="AX8">
        <v>0.31831100000000001</v>
      </c>
      <c r="AY8" s="8">
        <f t="shared" si="2"/>
        <v>0.76670000000000005</v>
      </c>
      <c r="AZ8" s="8">
        <f t="shared" si="3"/>
        <v>31.064399999999999</v>
      </c>
      <c r="BB8" s="5"/>
      <c r="BC8">
        <v>9526</v>
      </c>
      <c r="BD8">
        <v>1009728</v>
      </c>
      <c r="BF8">
        <v>0.123879</v>
      </c>
      <c r="BH8">
        <v>8.7500000000000002E-4</v>
      </c>
      <c r="BN8">
        <v>0.17790400000000001</v>
      </c>
      <c r="BS8">
        <v>1.5653E-2</v>
      </c>
      <c r="BT8" s="9">
        <v>0.31831100000000001</v>
      </c>
      <c r="BU8" s="8">
        <f t="shared" si="4"/>
        <v>1.5653000000000001</v>
      </c>
      <c r="BV8" s="8">
        <f t="shared" si="5"/>
        <v>30.265799999999999</v>
      </c>
      <c r="BW8" s="8">
        <f t="shared" si="6"/>
        <v>0.79860000000000009</v>
      </c>
      <c r="BY8">
        <f t="shared" si="7"/>
        <v>30.178300000000004</v>
      </c>
    </row>
    <row r="9" spans="1:77" x14ac:dyDescent="0.25">
      <c r="A9">
        <v>1010344</v>
      </c>
      <c r="B9">
        <v>10142</v>
      </c>
      <c r="C9" t="s">
        <v>43</v>
      </c>
      <c r="D9" t="str">
        <f t="shared" si="0"/>
        <v>NAT_FOR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f t="shared" si="1"/>
        <v>NotLake</v>
      </c>
      <c r="AA9">
        <v>26</v>
      </c>
      <c r="AB9">
        <v>583577.16153899999</v>
      </c>
      <c r="AC9">
        <v>1276.2351000000001</v>
      </c>
      <c r="AD9">
        <v>50359.113010000001</v>
      </c>
      <c r="AE9">
        <v>5.0359000000000001E-2</v>
      </c>
      <c r="AG9">
        <v>9527</v>
      </c>
      <c r="AH9">
        <v>1009665</v>
      </c>
      <c r="AJ9">
        <v>0.37380799999999997</v>
      </c>
      <c r="AN9">
        <v>2.03E-4</v>
      </c>
      <c r="AP9">
        <v>4.1273999999999998E-2</v>
      </c>
      <c r="AR9">
        <v>4.6E-5</v>
      </c>
      <c r="AT9">
        <v>2.2910000000000001E-3</v>
      </c>
      <c r="AW9">
        <v>4.2761E-2</v>
      </c>
      <c r="AX9">
        <v>0.46038299999999993</v>
      </c>
      <c r="AY9" s="8">
        <f t="shared" si="2"/>
        <v>4.2761000000000005</v>
      </c>
      <c r="AZ9" s="8">
        <f t="shared" si="3"/>
        <v>41.762199999999993</v>
      </c>
      <c r="BB9" s="5"/>
      <c r="BC9">
        <v>9527</v>
      </c>
      <c r="BD9">
        <v>1009665</v>
      </c>
      <c r="BF9">
        <v>0.365726</v>
      </c>
      <c r="BL9">
        <v>1.9825000000000002E-2</v>
      </c>
      <c r="BS9">
        <v>7.4831999999999996E-2</v>
      </c>
      <c r="BT9" s="9">
        <v>0.46038299999999999</v>
      </c>
      <c r="BU9" s="8">
        <f t="shared" si="4"/>
        <v>7.4831999999999992</v>
      </c>
      <c r="BV9" s="8">
        <f t="shared" si="5"/>
        <v>38.555100000000003</v>
      </c>
      <c r="BW9" s="8">
        <f t="shared" si="6"/>
        <v>3.2070999999999987</v>
      </c>
      <c r="BY9">
        <f t="shared" si="7"/>
        <v>36.572600000000001</v>
      </c>
    </row>
    <row r="10" spans="1:77" x14ac:dyDescent="0.25">
      <c r="A10">
        <v>1010398</v>
      </c>
      <c r="B10">
        <v>10415</v>
      </c>
      <c r="C10" t="s">
        <v>43</v>
      </c>
      <c r="D10" t="str">
        <f t="shared" si="0"/>
        <v>NAT_FOR</v>
      </c>
      <c r="E10">
        <v>100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f t="shared" si="1"/>
        <v>NotLake</v>
      </c>
      <c r="AA10">
        <v>35</v>
      </c>
      <c r="AB10">
        <v>212209.53551300001</v>
      </c>
      <c r="AC10">
        <v>1847.0851290000001</v>
      </c>
      <c r="AD10">
        <v>54097.645833000002</v>
      </c>
      <c r="AE10">
        <v>5.4098E-2</v>
      </c>
      <c r="AG10">
        <v>9528</v>
      </c>
      <c r="AH10">
        <v>1009752</v>
      </c>
      <c r="AL10">
        <v>2.8630000000000001E-3</v>
      </c>
      <c r="AN10">
        <v>2.22E-4</v>
      </c>
      <c r="AR10">
        <v>1.0179000000000001E-2</v>
      </c>
      <c r="AW10">
        <v>0.14319399999999999</v>
      </c>
      <c r="AX10">
        <v>0.15645799999999999</v>
      </c>
      <c r="AY10" s="8">
        <f t="shared" si="2"/>
        <v>14.319399999999998</v>
      </c>
      <c r="AZ10" s="8">
        <f t="shared" si="3"/>
        <v>1.3263999999999996</v>
      </c>
      <c r="BB10" s="5"/>
      <c r="BC10">
        <v>9528</v>
      </c>
      <c r="BD10">
        <v>1009752</v>
      </c>
      <c r="BH10">
        <v>1.4959999999999999E-3</v>
      </c>
      <c r="BN10">
        <v>6.62E-3</v>
      </c>
      <c r="BS10">
        <v>0.148342</v>
      </c>
      <c r="BT10" s="9">
        <v>0.15645800000000001</v>
      </c>
      <c r="BU10" s="8">
        <f t="shared" si="4"/>
        <v>14.834200000000001</v>
      </c>
      <c r="BV10" s="8">
        <f t="shared" si="5"/>
        <v>0.81160000000000032</v>
      </c>
      <c r="BW10" s="8">
        <f t="shared" si="6"/>
        <v>0.51480000000000281</v>
      </c>
      <c r="BY10">
        <f t="shared" si="7"/>
        <v>0.66200000000000003</v>
      </c>
    </row>
    <row r="11" spans="1:77" x14ac:dyDescent="0.25">
      <c r="A11">
        <v>1010461</v>
      </c>
      <c r="B11">
        <v>10402</v>
      </c>
      <c r="C11" t="s">
        <v>43</v>
      </c>
      <c r="D11" t="str">
        <f t="shared" si="0"/>
        <v>NAT_FOR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f t="shared" si="1"/>
        <v>NotLake</v>
      </c>
      <c r="AA11">
        <v>40</v>
      </c>
      <c r="AB11">
        <v>938753.97368599998</v>
      </c>
      <c r="AC11">
        <v>728.39001399999995</v>
      </c>
      <c r="AD11">
        <v>8174.0178839999999</v>
      </c>
      <c r="AE11">
        <v>8.1740000000000007E-3</v>
      </c>
      <c r="AG11">
        <v>9610</v>
      </c>
      <c r="AH11">
        <v>1009710</v>
      </c>
      <c r="AJ11">
        <v>0.34397100000000003</v>
      </c>
      <c r="AP11">
        <v>2.9700999999999998E-2</v>
      </c>
      <c r="AR11">
        <v>0.157751</v>
      </c>
      <c r="AW11">
        <v>9.3508999999999995E-2</v>
      </c>
      <c r="AX11">
        <v>0.62493199999999993</v>
      </c>
      <c r="AY11" s="8">
        <f t="shared" si="2"/>
        <v>9.3508999999999993</v>
      </c>
      <c r="AZ11" s="8">
        <f t="shared" si="3"/>
        <v>53.142299999999992</v>
      </c>
      <c r="BB11" s="5"/>
      <c r="BC11">
        <v>9610</v>
      </c>
      <c r="BD11">
        <v>1009710</v>
      </c>
      <c r="BF11">
        <v>0.33659900000000004</v>
      </c>
      <c r="BL11">
        <v>7.3829999999999998E-3</v>
      </c>
      <c r="BN11">
        <v>0.157751</v>
      </c>
      <c r="BS11">
        <v>0.123199</v>
      </c>
      <c r="BT11" s="9">
        <v>0.62493200000000004</v>
      </c>
      <c r="BU11" s="8">
        <f t="shared" si="4"/>
        <v>12.319900000000001</v>
      </c>
      <c r="BV11" s="8">
        <f t="shared" si="5"/>
        <v>50.173299999999998</v>
      </c>
      <c r="BW11" s="8">
        <f t="shared" si="6"/>
        <v>2.9690000000000012</v>
      </c>
      <c r="BY11">
        <f t="shared" si="7"/>
        <v>49.435000000000009</v>
      </c>
    </row>
    <row r="12" spans="1:77" x14ac:dyDescent="0.25">
      <c r="A12">
        <v>1010462</v>
      </c>
      <c r="B12">
        <v>10414</v>
      </c>
      <c r="C12" t="s">
        <v>43</v>
      </c>
      <c r="D12" t="str">
        <f t="shared" si="0"/>
        <v>NAT_FOR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f t="shared" si="1"/>
        <v>NotLake</v>
      </c>
      <c r="AA12">
        <v>41</v>
      </c>
      <c r="AB12">
        <v>1152767.33971</v>
      </c>
      <c r="AC12">
        <v>1511.0753219999999</v>
      </c>
      <c r="AD12">
        <v>30157.098579000001</v>
      </c>
      <c r="AE12">
        <v>3.0157E-2</v>
      </c>
      <c r="AG12">
        <v>9675</v>
      </c>
      <c r="AH12">
        <v>1009808</v>
      </c>
      <c r="AJ12">
        <v>1.1E-5</v>
      </c>
      <c r="AL12">
        <v>2.1047E-2</v>
      </c>
      <c r="AR12">
        <v>0.156273</v>
      </c>
      <c r="AW12">
        <v>0.148173</v>
      </c>
      <c r="AX12">
        <v>0.32550400000000002</v>
      </c>
      <c r="AY12" s="8">
        <f t="shared" si="2"/>
        <v>14.817299999999999</v>
      </c>
      <c r="AZ12" s="8">
        <f t="shared" si="3"/>
        <v>17.733100000000004</v>
      </c>
      <c r="BB12" s="5"/>
      <c r="BC12">
        <v>9675</v>
      </c>
      <c r="BD12">
        <v>1009808</v>
      </c>
      <c r="BF12">
        <v>1.1E-5</v>
      </c>
      <c r="BH12">
        <v>1.7406999999999999E-2</v>
      </c>
      <c r="BN12">
        <v>0.14269500000000002</v>
      </c>
      <c r="BS12">
        <v>0.16539100000000001</v>
      </c>
      <c r="BT12" s="9">
        <v>0.32550400000000002</v>
      </c>
      <c r="BU12" s="8">
        <f t="shared" si="4"/>
        <v>16.539100000000001</v>
      </c>
      <c r="BV12" s="8">
        <f t="shared" si="5"/>
        <v>16.011300000000002</v>
      </c>
      <c r="BW12" s="8">
        <f t="shared" si="6"/>
        <v>1.7218000000000018</v>
      </c>
      <c r="BY12">
        <f t="shared" si="7"/>
        <v>14.270600000000004</v>
      </c>
    </row>
    <row r="13" spans="1:77" x14ac:dyDescent="0.25">
      <c r="A13">
        <v>1010106</v>
      </c>
      <c r="B13">
        <v>9923</v>
      </c>
      <c r="C13" t="s">
        <v>42</v>
      </c>
      <c r="D13" t="str">
        <f t="shared" si="0"/>
        <v>PLANT_FOR</v>
      </c>
      <c r="E13">
        <v>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f t="shared" si="1"/>
        <v>NotLake</v>
      </c>
      <c r="AA13">
        <v>12</v>
      </c>
      <c r="AB13">
        <v>337197.66935500002</v>
      </c>
      <c r="AC13">
        <v>227.38466099999999</v>
      </c>
      <c r="AD13">
        <v>1794.6074100000001</v>
      </c>
      <c r="AE13">
        <v>1.7949999999999999E-3</v>
      </c>
      <c r="AG13">
        <v>9676</v>
      </c>
      <c r="AH13">
        <v>1009804</v>
      </c>
      <c r="AJ13">
        <v>2.764E-3</v>
      </c>
      <c r="AL13">
        <v>2.4390000000000002E-3</v>
      </c>
      <c r="AR13">
        <v>2.4705000000000001E-2</v>
      </c>
      <c r="AW13">
        <v>0.20568000000000003</v>
      </c>
      <c r="AX13">
        <v>0.23558800000000002</v>
      </c>
      <c r="AY13" s="8">
        <f t="shared" si="2"/>
        <v>20.568000000000001</v>
      </c>
      <c r="AZ13" s="8">
        <f t="shared" si="3"/>
        <v>2.9908000000000001</v>
      </c>
      <c r="BB13" s="4"/>
      <c r="BC13">
        <v>9676</v>
      </c>
      <c r="BD13">
        <v>1009804</v>
      </c>
      <c r="BF13">
        <v>2.5490000000000001E-3</v>
      </c>
      <c r="BH13">
        <v>2.3930000000000002E-3</v>
      </c>
      <c r="BN13">
        <v>2.4705000000000001E-2</v>
      </c>
      <c r="BS13">
        <v>0.20594100000000001</v>
      </c>
      <c r="BT13" s="9">
        <v>0.23558800000000002</v>
      </c>
      <c r="BU13" s="8">
        <f t="shared" si="4"/>
        <v>20.594100000000001</v>
      </c>
      <c r="BV13" s="8">
        <f t="shared" si="5"/>
        <v>2.9647000000000006</v>
      </c>
      <c r="BW13" s="8">
        <f t="shared" si="6"/>
        <v>2.6099999999999568E-2</v>
      </c>
      <c r="BY13">
        <f t="shared" si="7"/>
        <v>2.7254</v>
      </c>
    </row>
    <row r="14" spans="1:77" x14ac:dyDescent="0.25">
      <c r="A14">
        <v>1010139</v>
      </c>
      <c r="B14">
        <v>9961</v>
      </c>
      <c r="C14" t="s">
        <v>42</v>
      </c>
      <c r="D14" t="str">
        <f t="shared" si="0"/>
        <v>PLANT_FOR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f t="shared" si="1"/>
        <v>NotLake</v>
      </c>
      <c r="AA14">
        <v>15</v>
      </c>
      <c r="AB14">
        <v>1662601.4959199999</v>
      </c>
      <c r="AC14">
        <v>81.55068</v>
      </c>
      <c r="AD14">
        <v>262.47868499999998</v>
      </c>
      <c r="AE14">
        <v>2.6200000000000003E-4</v>
      </c>
      <c r="AG14">
        <v>9677</v>
      </c>
      <c r="AH14">
        <v>1009832</v>
      </c>
      <c r="AL14">
        <v>5.0972999999999997E-2</v>
      </c>
      <c r="AR14">
        <v>4.1568000000000001E-2</v>
      </c>
      <c r="AU14">
        <v>7.123E-3</v>
      </c>
      <c r="AW14">
        <v>2.1240030000000001</v>
      </c>
      <c r="AX14">
        <v>2.2236670000000003</v>
      </c>
      <c r="AY14" s="8">
        <f t="shared" si="2"/>
        <v>212.40030000000002</v>
      </c>
      <c r="AZ14" s="8">
        <f t="shared" si="3"/>
        <v>9.9664000000000215</v>
      </c>
      <c r="BB14" s="4"/>
      <c r="BC14">
        <v>9677</v>
      </c>
      <c r="BD14">
        <v>1009832</v>
      </c>
      <c r="BH14">
        <v>4.5615999999999997E-2</v>
      </c>
      <c r="BN14">
        <v>4.1568000000000001E-2</v>
      </c>
      <c r="BQ14">
        <v>7.123E-3</v>
      </c>
      <c r="BS14">
        <v>2.1293600000000001</v>
      </c>
      <c r="BT14" s="9">
        <v>2.2236670000000003</v>
      </c>
      <c r="BU14" s="8">
        <f t="shared" si="4"/>
        <v>212.93600000000001</v>
      </c>
      <c r="BV14" s="8">
        <f t="shared" si="5"/>
        <v>9.4307000000000301</v>
      </c>
      <c r="BW14" s="8">
        <f t="shared" si="6"/>
        <v>0.53569999999999141</v>
      </c>
      <c r="BY14">
        <f t="shared" si="7"/>
        <v>4.1568000000000005</v>
      </c>
    </row>
    <row r="15" spans="1:77" x14ac:dyDescent="0.25">
      <c r="A15">
        <v>1010106</v>
      </c>
      <c r="B15">
        <v>9923</v>
      </c>
      <c r="C15" t="s">
        <v>43</v>
      </c>
      <c r="D15" t="str">
        <f t="shared" si="0"/>
        <v>NAT_FOR</v>
      </c>
      <c r="E15">
        <v>100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f t="shared" si="1"/>
        <v>NotLake</v>
      </c>
      <c r="AA15">
        <v>12</v>
      </c>
      <c r="AB15">
        <v>337197.66935500002</v>
      </c>
      <c r="AC15">
        <v>210.51165800000001</v>
      </c>
      <c r="AD15">
        <v>2795.626139</v>
      </c>
      <c r="AE15">
        <v>2.7959999999999999E-3</v>
      </c>
      <c r="AG15">
        <v>9905</v>
      </c>
      <c r="AH15">
        <v>1009885</v>
      </c>
      <c r="AL15">
        <v>2.3140999999999998E-2</v>
      </c>
      <c r="AQ15">
        <v>5.5069999999999997E-3</v>
      </c>
      <c r="AR15">
        <v>0.236849</v>
      </c>
      <c r="AW15">
        <v>3.8428000000000004E-2</v>
      </c>
      <c r="AX15">
        <v>0.303925</v>
      </c>
      <c r="AY15" s="8">
        <f t="shared" si="2"/>
        <v>3.8428000000000004</v>
      </c>
      <c r="AZ15" s="8">
        <f t="shared" si="3"/>
        <v>26.549699999999998</v>
      </c>
      <c r="BB15" s="4"/>
      <c r="BC15">
        <v>9905</v>
      </c>
      <c r="BD15">
        <v>1009885</v>
      </c>
      <c r="BH15">
        <v>2.1739999999999999E-2</v>
      </c>
      <c r="BM15">
        <v>5.5069999999999997E-3</v>
      </c>
      <c r="BN15">
        <v>0.23622900000000002</v>
      </c>
      <c r="BS15">
        <v>4.0448999999999999E-2</v>
      </c>
      <c r="BT15" s="9">
        <v>0.30392500000000006</v>
      </c>
      <c r="BU15" s="8">
        <f t="shared" si="4"/>
        <v>4.0449000000000002</v>
      </c>
      <c r="BV15" s="8">
        <f t="shared" si="5"/>
        <v>26.347600000000007</v>
      </c>
      <c r="BW15" s="8">
        <f t="shared" si="6"/>
        <v>0.20209999999999972</v>
      </c>
      <c r="BY15">
        <f t="shared" si="7"/>
        <v>24.173600000000004</v>
      </c>
    </row>
    <row r="16" spans="1:77" x14ac:dyDescent="0.25">
      <c r="A16">
        <v>1010424</v>
      </c>
      <c r="B16">
        <v>10697</v>
      </c>
      <c r="C16" t="s">
        <v>44</v>
      </c>
      <c r="D16" t="str">
        <f t="shared" si="0"/>
        <v>SCRUB</v>
      </c>
      <c r="E16">
        <v>0</v>
      </c>
      <c r="F16">
        <v>0</v>
      </c>
      <c r="G16">
        <v>0</v>
      </c>
      <c r="H16">
        <v>100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f t="shared" si="1"/>
        <v>NotLake</v>
      </c>
      <c r="AA16">
        <v>39</v>
      </c>
      <c r="AB16">
        <v>191522.43302999999</v>
      </c>
      <c r="AC16">
        <v>49.674844</v>
      </c>
      <c r="AD16">
        <v>103.305384</v>
      </c>
      <c r="AE16">
        <v>1.03E-4</v>
      </c>
      <c r="AG16">
        <v>9923</v>
      </c>
      <c r="AH16">
        <v>1010106</v>
      </c>
      <c r="AJ16">
        <v>0.23092799999999999</v>
      </c>
      <c r="AL16">
        <v>2.7959999999999999E-3</v>
      </c>
      <c r="AP16">
        <v>1.7949999999999999E-3</v>
      </c>
      <c r="AR16">
        <v>0.10168000000000001</v>
      </c>
      <c r="AX16">
        <v>0.33719899999999997</v>
      </c>
      <c r="AY16" s="8">
        <f t="shared" si="2"/>
        <v>0</v>
      </c>
      <c r="AZ16" s="8">
        <f t="shared" si="3"/>
        <v>33.719899999999996</v>
      </c>
      <c r="BB16" s="4"/>
      <c r="BC16">
        <v>9923</v>
      </c>
      <c r="BD16">
        <v>1010106</v>
      </c>
      <c r="BF16">
        <v>0.23092799999999999</v>
      </c>
      <c r="BH16">
        <v>2.7959999999999999E-3</v>
      </c>
      <c r="BL16">
        <v>1.7949999999999999E-3</v>
      </c>
      <c r="BN16">
        <v>0.10168000000000001</v>
      </c>
      <c r="BT16" s="9">
        <v>0.33719899999999997</v>
      </c>
      <c r="BU16" s="8">
        <f t="shared" si="4"/>
        <v>0</v>
      </c>
      <c r="BV16" s="8">
        <f t="shared" si="5"/>
        <v>33.719899999999996</v>
      </c>
      <c r="BW16" s="8">
        <f t="shared" si="6"/>
        <v>0</v>
      </c>
      <c r="BY16">
        <f t="shared" si="7"/>
        <v>33.260800000000003</v>
      </c>
    </row>
    <row r="17" spans="1:77" x14ac:dyDescent="0.25">
      <c r="A17">
        <v>1010424</v>
      </c>
      <c r="B17">
        <v>10697</v>
      </c>
      <c r="C17" t="s">
        <v>44</v>
      </c>
      <c r="D17" t="str">
        <f t="shared" si="0"/>
        <v>WATER</v>
      </c>
      <c r="E17">
        <v>0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25</v>
      </c>
      <c r="Z17" t="str">
        <f t="shared" si="1"/>
        <v>Lake</v>
      </c>
      <c r="AA17">
        <v>39</v>
      </c>
      <c r="AB17">
        <v>191522.43302999999</v>
      </c>
      <c r="AC17">
        <v>230.62844200000001</v>
      </c>
      <c r="AD17">
        <v>2984.4383389999998</v>
      </c>
      <c r="AE17">
        <v>2.9840000000000001E-3</v>
      </c>
      <c r="AG17">
        <v>9960</v>
      </c>
      <c r="AH17">
        <v>1010140</v>
      </c>
      <c r="AI17">
        <v>3.8279999999999998E-3</v>
      </c>
      <c r="AJ17">
        <v>0.31521699999999997</v>
      </c>
      <c r="AO17">
        <v>1.7195000000000002E-2</v>
      </c>
      <c r="AP17">
        <v>2.4390000000000002E-3</v>
      </c>
      <c r="AR17">
        <v>3.0887999999999999E-2</v>
      </c>
      <c r="AX17">
        <v>0.36956699999999998</v>
      </c>
      <c r="AY17" s="8">
        <f t="shared" si="2"/>
        <v>0</v>
      </c>
      <c r="AZ17" s="8">
        <f t="shared" si="3"/>
        <v>36.956699999999998</v>
      </c>
      <c r="BB17" s="4"/>
      <c r="BC17">
        <v>9960</v>
      </c>
      <c r="BD17">
        <v>1010140</v>
      </c>
      <c r="BE17">
        <v>3.8279999999999998E-3</v>
      </c>
      <c r="BF17">
        <v>0.31521699999999997</v>
      </c>
      <c r="BK17">
        <v>1.7195000000000002E-2</v>
      </c>
      <c r="BL17">
        <v>2.4390000000000002E-3</v>
      </c>
      <c r="BN17">
        <v>3.0887999999999999E-2</v>
      </c>
      <c r="BT17" s="9">
        <v>0.36956699999999998</v>
      </c>
      <c r="BU17" s="8">
        <f t="shared" si="4"/>
        <v>0</v>
      </c>
      <c r="BV17" s="8">
        <f t="shared" si="5"/>
        <v>36.956699999999998</v>
      </c>
      <c r="BW17" s="8">
        <f t="shared" si="6"/>
        <v>0</v>
      </c>
      <c r="BY17">
        <f t="shared" si="7"/>
        <v>36.33</v>
      </c>
    </row>
    <row r="18" spans="1:77" x14ac:dyDescent="0.25">
      <c r="A18">
        <v>1010490</v>
      </c>
      <c r="B18">
        <v>10696</v>
      </c>
      <c r="C18" t="s">
        <v>44</v>
      </c>
      <c r="D18" t="str">
        <f t="shared" si="0"/>
        <v>SCRUB</v>
      </c>
      <c r="E18">
        <v>0</v>
      </c>
      <c r="F18">
        <v>0</v>
      </c>
      <c r="G18">
        <v>0</v>
      </c>
      <c r="H18">
        <v>100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f t="shared" si="1"/>
        <v>NotLake</v>
      </c>
      <c r="AA18">
        <v>43</v>
      </c>
      <c r="AB18">
        <v>1010666.12703</v>
      </c>
      <c r="AC18">
        <v>45.180698999999997</v>
      </c>
      <c r="AD18">
        <v>32.141649000000001</v>
      </c>
      <c r="AE18">
        <v>3.1999999999999999E-5</v>
      </c>
      <c r="AG18">
        <v>9961</v>
      </c>
      <c r="AH18">
        <v>1010139</v>
      </c>
      <c r="AJ18">
        <v>0.59170800000000001</v>
      </c>
      <c r="AK18">
        <v>6.11E-4</v>
      </c>
      <c r="AL18">
        <v>2.8048000000000003E-2</v>
      </c>
      <c r="AM18">
        <v>5.1803000000000002E-2</v>
      </c>
      <c r="AN18">
        <v>3.9099999999999994E-3</v>
      </c>
      <c r="AO18">
        <v>2.7987000000000001E-2</v>
      </c>
      <c r="AP18">
        <v>4.5571E-2</v>
      </c>
      <c r="AR18">
        <v>0.44693400000000005</v>
      </c>
      <c r="AT18">
        <v>1.0442999999999999E-2</v>
      </c>
      <c r="AW18">
        <v>0.45558299999999996</v>
      </c>
      <c r="AX18">
        <v>1.662598</v>
      </c>
      <c r="AY18" s="8">
        <f t="shared" si="2"/>
        <v>45.558299999999996</v>
      </c>
      <c r="AZ18" s="8">
        <f t="shared" si="3"/>
        <v>120.70150000000001</v>
      </c>
      <c r="BB18" s="5"/>
      <c r="BC18">
        <v>9961</v>
      </c>
      <c r="BD18">
        <v>1010139</v>
      </c>
      <c r="BF18">
        <v>0.38897999999999999</v>
      </c>
      <c r="BG18">
        <v>6.11E-4</v>
      </c>
      <c r="BH18">
        <v>2.8048000000000003E-2</v>
      </c>
      <c r="BI18">
        <v>5.1803000000000002E-2</v>
      </c>
      <c r="BJ18">
        <v>1.804E-3</v>
      </c>
      <c r="BK18">
        <v>2.7987000000000001E-2</v>
      </c>
      <c r="BL18">
        <v>4.3396999999999998E-2</v>
      </c>
      <c r="BN18">
        <v>0.43201699999999998</v>
      </c>
      <c r="BP18">
        <v>1.0442999999999999E-2</v>
      </c>
      <c r="BS18">
        <v>0.67750799999999978</v>
      </c>
      <c r="BT18" s="9">
        <v>1.6625979999999996</v>
      </c>
      <c r="BU18" s="8">
        <f t="shared" si="4"/>
        <v>67.750799999999984</v>
      </c>
      <c r="BV18" s="8">
        <f t="shared" si="5"/>
        <v>98.508999999999972</v>
      </c>
      <c r="BW18" s="8">
        <f t="shared" si="6"/>
        <v>22.192499999999988</v>
      </c>
      <c r="BY18">
        <f t="shared" si="7"/>
        <v>84.898399999999995</v>
      </c>
    </row>
    <row r="19" spans="1:77" x14ac:dyDescent="0.25">
      <c r="A19">
        <v>1010490</v>
      </c>
      <c r="B19">
        <v>10696</v>
      </c>
      <c r="C19" t="s">
        <v>44</v>
      </c>
      <c r="D19" t="str">
        <f t="shared" si="0"/>
        <v>WATER</v>
      </c>
      <c r="E19">
        <v>0</v>
      </c>
      <c r="F19">
        <v>0</v>
      </c>
      <c r="G19">
        <v>0</v>
      </c>
      <c r="H19">
        <v>100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25</v>
      </c>
      <c r="Z19" t="str">
        <f t="shared" si="1"/>
        <v>Lake</v>
      </c>
      <c r="AA19">
        <v>43</v>
      </c>
      <c r="AB19">
        <v>1010666.12703</v>
      </c>
      <c r="AC19">
        <v>228.29577599999999</v>
      </c>
      <c r="AD19">
        <v>2427.4743130000002</v>
      </c>
      <c r="AE19">
        <v>2.4269999999999999E-3</v>
      </c>
      <c r="AG19">
        <v>9962</v>
      </c>
      <c r="AH19">
        <v>1010121</v>
      </c>
      <c r="AR19">
        <v>4.8595999999999993E-2</v>
      </c>
      <c r="AW19">
        <v>1.8927370000000001</v>
      </c>
      <c r="AX19">
        <v>1.9413330000000002</v>
      </c>
      <c r="AY19" s="8">
        <f t="shared" si="2"/>
        <v>189.27370000000002</v>
      </c>
      <c r="AZ19" s="8">
        <f t="shared" si="3"/>
        <v>4.8596000000000004</v>
      </c>
      <c r="BB19" s="5"/>
      <c r="BC19">
        <v>9962</v>
      </c>
      <c r="BD19">
        <v>1010121</v>
      </c>
      <c r="BN19">
        <v>3.2529000000000002E-2</v>
      </c>
      <c r="BS19">
        <v>1.9088040000000002</v>
      </c>
      <c r="BT19" s="9">
        <v>1.9413330000000002</v>
      </c>
      <c r="BU19" s="8">
        <f t="shared" si="4"/>
        <v>190.88040000000001</v>
      </c>
      <c r="BV19" s="8">
        <f t="shared" si="5"/>
        <v>3.252900000000011</v>
      </c>
      <c r="BW19" s="8">
        <f t="shared" si="6"/>
        <v>1.6066999999999894</v>
      </c>
      <c r="BY19">
        <f t="shared" si="7"/>
        <v>3.2529000000000003</v>
      </c>
    </row>
    <row r="20" spans="1:77" x14ac:dyDescent="0.25">
      <c r="A20">
        <v>1009665</v>
      </c>
      <c r="B20">
        <v>9527</v>
      </c>
      <c r="C20" t="s">
        <v>46</v>
      </c>
      <c r="D20" t="str">
        <f t="shared" si="0"/>
        <v>WATER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25</v>
      </c>
      <c r="Z20" t="str">
        <f t="shared" si="1"/>
        <v>Lake</v>
      </c>
      <c r="AA20">
        <v>1</v>
      </c>
      <c r="AB20">
        <v>460381.55421099998</v>
      </c>
      <c r="AC20">
        <v>951.16983600000003</v>
      </c>
      <c r="AD20">
        <v>22918.636079</v>
      </c>
      <c r="AE20">
        <v>2.2918999999999998E-2</v>
      </c>
      <c r="AG20">
        <v>9963</v>
      </c>
      <c r="AH20">
        <v>1010120</v>
      </c>
      <c r="AW20">
        <v>0.33359299999999997</v>
      </c>
      <c r="AX20">
        <v>0.33359299999999997</v>
      </c>
      <c r="AY20" s="8">
        <f t="shared" si="2"/>
        <v>33.359299999999998</v>
      </c>
      <c r="AZ20" s="8">
        <f t="shared" si="3"/>
        <v>0</v>
      </c>
      <c r="BB20" s="6"/>
      <c r="BC20">
        <v>9963</v>
      </c>
      <c r="BD20">
        <v>1010120</v>
      </c>
      <c r="BS20">
        <v>0.33359299999999997</v>
      </c>
      <c r="BT20" s="9">
        <v>0.33359299999999997</v>
      </c>
      <c r="BU20" s="8">
        <f t="shared" si="4"/>
        <v>33.359299999999998</v>
      </c>
      <c r="BV20" s="8">
        <f t="shared" si="5"/>
        <v>0</v>
      </c>
      <c r="BW20" s="8">
        <f t="shared" si="6"/>
        <v>0</v>
      </c>
      <c r="BY20">
        <f t="shared" si="7"/>
        <v>0</v>
      </c>
    </row>
    <row r="21" spans="1:77" x14ac:dyDescent="0.25">
      <c r="A21">
        <v>1009698</v>
      </c>
      <c r="B21">
        <v>9480</v>
      </c>
      <c r="C21" t="s">
        <v>46</v>
      </c>
      <c r="D21" t="str">
        <f t="shared" si="0"/>
        <v>WATER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25</v>
      </c>
      <c r="Z21" t="str">
        <f t="shared" si="1"/>
        <v>Lake</v>
      </c>
      <c r="AA21">
        <v>2</v>
      </c>
      <c r="AB21">
        <v>2613890.82766</v>
      </c>
      <c r="AC21">
        <v>7274.289882</v>
      </c>
      <c r="AD21">
        <v>1657728.9729909999</v>
      </c>
      <c r="AE21">
        <v>1.657729</v>
      </c>
      <c r="AG21">
        <v>10134</v>
      </c>
      <c r="AH21">
        <v>1009840</v>
      </c>
      <c r="AJ21">
        <v>0.26211400000000007</v>
      </c>
      <c r="AN21">
        <v>1.4799999999999999E-4</v>
      </c>
      <c r="AP21">
        <v>3.2427999999999998E-2</v>
      </c>
      <c r="AR21">
        <v>0.99462899999999999</v>
      </c>
      <c r="AS21">
        <v>6.5754000000000007E-2</v>
      </c>
      <c r="AT21">
        <v>5.1999999999999998E-3</v>
      </c>
      <c r="AW21">
        <v>0.84897599999999995</v>
      </c>
      <c r="AX21">
        <v>2.2092490000000002</v>
      </c>
      <c r="AY21" s="8">
        <f t="shared" si="2"/>
        <v>84.897599999999997</v>
      </c>
      <c r="AZ21" s="8">
        <f t="shared" si="3"/>
        <v>136.02730000000003</v>
      </c>
      <c r="BB21" s="5"/>
      <c r="BC21">
        <v>10134</v>
      </c>
      <c r="BD21">
        <v>1009840</v>
      </c>
      <c r="BF21">
        <v>0.24658300000000002</v>
      </c>
      <c r="BL21">
        <v>1.4961E-2</v>
      </c>
      <c r="BN21">
        <v>0.93611900000000003</v>
      </c>
      <c r="BO21">
        <v>3.066E-2</v>
      </c>
      <c r="BP21">
        <v>7.0299999999999996E-4</v>
      </c>
      <c r="BS21">
        <v>0.98022299999999996</v>
      </c>
      <c r="BT21" s="9">
        <v>2.2092489999999998</v>
      </c>
      <c r="BU21" s="8">
        <f t="shared" si="4"/>
        <v>98.022300000000001</v>
      </c>
      <c r="BV21" s="8">
        <f t="shared" si="5"/>
        <v>122.90259999999998</v>
      </c>
      <c r="BW21" s="8">
        <f t="shared" si="6"/>
        <v>13.124700000000004</v>
      </c>
      <c r="BY21">
        <f t="shared" si="7"/>
        <v>118.27020000000002</v>
      </c>
    </row>
    <row r="22" spans="1:77" x14ac:dyDescent="0.25">
      <c r="A22">
        <v>1009710</v>
      </c>
      <c r="B22">
        <v>9610</v>
      </c>
      <c r="C22" t="s">
        <v>46</v>
      </c>
      <c r="D22" t="str">
        <f t="shared" si="0"/>
        <v>WATER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25</v>
      </c>
      <c r="Z22" t="str">
        <f t="shared" si="1"/>
        <v>Lake</v>
      </c>
      <c r="AA22">
        <v>4</v>
      </c>
      <c r="AB22">
        <v>624933.80375199998</v>
      </c>
      <c r="AC22">
        <v>348.83549599999998</v>
      </c>
      <c r="AD22">
        <v>1264.632353</v>
      </c>
      <c r="AE22">
        <v>1.2650000000000001E-3</v>
      </c>
      <c r="AG22">
        <v>10142</v>
      </c>
      <c r="AH22">
        <v>1010344</v>
      </c>
      <c r="AJ22">
        <v>0.36717500000000003</v>
      </c>
      <c r="AL22">
        <v>7.9464000000000007E-2</v>
      </c>
      <c r="AO22">
        <v>4.3914000000000002E-2</v>
      </c>
      <c r="AP22">
        <v>1.8901000000000001E-2</v>
      </c>
      <c r="AQ22">
        <v>1.8680000000000001E-3</v>
      </c>
      <c r="AR22">
        <v>7.2256000000000001E-2</v>
      </c>
      <c r="AX22">
        <v>0.58357800000000004</v>
      </c>
      <c r="AY22" s="8">
        <f t="shared" si="2"/>
        <v>0</v>
      </c>
      <c r="AZ22" s="8">
        <f t="shared" si="3"/>
        <v>58.357800000000005</v>
      </c>
      <c r="BB22" s="4"/>
      <c r="BC22">
        <v>10142</v>
      </c>
      <c r="BD22">
        <v>1010344</v>
      </c>
      <c r="BF22">
        <v>0.36717500000000003</v>
      </c>
      <c r="BH22">
        <v>7.9464000000000007E-2</v>
      </c>
      <c r="BK22">
        <v>4.3914000000000002E-2</v>
      </c>
      <c r="BL22">
        <v>1.8901000000000001E-2</v>
      </c>
      <c r="BM22">
        <v>1.8680000000000001E-3</v>
      </c>
      <c r="BN22">
        <v>7.2256000000000001E-2</v>
      </c>
      <c r="BT22" s="9">
        <v>0.58357800000000004</v>
      </c>
      <c r="BU22" s="8">
        <f t="shared" si="4"/>
        <v>0</v>
      </c>
      <c r="BV22" s="8">
        <f t="shared" si="5"/>
        <v>58.357800000000005</v>
      </c>
      <c r="BW22" s="8">
        <f t="shared" si="6"/>
        <v>0</v>
      </c>
      <c r="BY22">
        <f t="shared" si="7"/>
        <v>48.521300000000004</v>
      </c>
    </row>
    <row r="23" spans="1:77" x14ac:dyDescent="0.25">
      <c r="A23">
        <v>1009728</v>
      </c>
      <c r="B23">
        <v>9526</v>
      </c>
      <c r="C23" t="s">
        <v>46</v>
      </c>
      <c r="D23" t="str">
        <f t="shared" si="0"/>
        <v>WATER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25</v>
      </c>
      <c r="Z23" t="str">
        <f t="shared" si="1"/>
        <v>Lake</v>
      </c>
      <c r="AA23">
        <v>5</v>
      </c>
      <c r="AB23">
        <v>318309.81075300003</v>
      </c>
      <c r="AC23">
        <v>646.15469700000006</v>
      </c>
      <c r="AD23">
        <v>7666.5391490000002</v>
      </c>
      <c r="AE23">
        <v>7.6670000000000002E-3</v>
      </c>
      <c r="AG23">
        <v>10173</v>
      </c>
      <c r="AH23">
        <v>1010301</v>
      </c>
      <c r="AJ23">
        <v>0.37799499999999997</v>
      </c>
      <c r="AL23">
        <v>3.2256E-2</v>
      </c>
      <c r="AP23">
        <v>3.8299999999999999E-4</v>
      </c>
      <c r="AW23">
        <v>1.468E-2</v>
      </c>
      <c r="AX23">
        <v>0.42531400000000003</v>
      </c>
      <c r="AY23" s="8">
        <f t="shared" si="2"/>
        <v>1.468</v>
      </c>
      <c r="AZ23" s="8">
        <f t="shared" si="3"/>
        <v>41.063400000000001</v>
      </c>
      <c r="BB23" s="5"/>
      <c r="BC23">
        <v>10173</v>
      </c>
      <c r="BD23">
        <v>1010301</v>
      </c>
      <c r="BF23">
        <v>0.20767899999999997</v>
      </c>
      <c r="BH23">
        <v>3.2256E-2</v>
      </c>
      <c r="BL23">
        <v>3.8299999999999999E-4</v>
      </c>
      <c r="BS23">
        <v>0.18499599999999999</v>
      </c>
      <c r="BT23" s="9">
        <v>0.42531399999999997</v>
      </c>
      <c r="BU23" s="8">
        <f t="shared" si="4"/>
        <v>18.499600000000001</v>
      </c>
      <c r="BV23" s="8">
        <f t="shared" si="5"/>
        <v>24.031799999999997</v>
      </c>
      <c r="BW23" s="8">
        <f t="shared" si="6"/>
        <v>17.031600000000001</v>
      </c>
      <c r="BY23">
        <f>(BF23+BK23+BM23+BN23)*100</f>
        <v>20.767899999999997</v>
      </c>
    </row>
    <row r="24" spans="1:77" x14ac:dyDescent="0.25">
      <c r="A24">
        <v>1009752</v>
      </c>
      <c r="B24">
        <v>9528</v>
      </c>
      <c r="C24" t="s">
        <v>46</v>
      </c>
      <c r="D24" t="str">
        <f t="shared" si="0"/>
        <v>WATER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f t="shared" si="1"/>
        <v>NotLake</v>
      </c>
      <c r="AA24">
        <v>6</v>
      </c>
      <c r="AB24">
        <v>156457.58610099999</v>
      </c>
      <c r="AC24">
        <v>50.524375999999997</v>
      </c>
      <c r="AD24">
        <v>155.79846800000001</v>
      </c>
      <c r="AE24">
        <v>1.56E-4</v>
      </c>
      <c r="AG24">
        <v>10178</v>
      </c>
      <c r="AH24">
        <v>1010288</v>
      </c>
      <c r="AJ24">
        <v>0.51050099999999998</v>
      </c>
      <c r="AL24">
        <v>3.8600999999999996E-2</v>
      </c>
      <c r="AO24">
        <v>3.4550000000000002E-3</v>
      </c>
      <c r="AP24">
        <v>8.5030000000000001E-3</v>
      </c>
      <c r="AQ24">
        <v>8.8458000000000009E-2</v>
      </c>
      <c r="AR24">
        <v>0.16021600000000003</v>
      </c>
      <c r="AW24">
        <v>0.59209199999999995</v>
      </c>
      <c r="AX24">
        <v>1.401826</v>
      </c>
      <c r="AY24" s="8">
        <f t="shared" si="2"/>
        <v>59.209199999999996</v>
      </c>
      <c r="AZ24" s="8">
        <f t="shared" si="3"/>
        <v>80.973400000000012</v>
      </c>
      <c r="BB24" s="5"/>
      <c r="BC24">
        <v>10178</v>
      </c>
      <c r="BD24">
        <v>1010288</v>
      </c>
      <c r="BF24">
        <v>0.39342900000000003</v>
      </c>
      <c r="BH24">
        <v>3.8600999999999996E-2</v>
      </c>
      <c r="BK24">
        <v>3.4550000000000002E-3</v>
      </c>
      <c r="BL24">
        <v>8.5030000000000001E-3</v>
      </c>
      <c r="BM24">
        <v>8.8458000000000009E-2</v>
      </c>
      <c r="BN24">
        <v>0.16021600000000003</v>
      </c>
      <c r="BS24">
        <v>0.70916399999999991</v>
      </c>
      <c r="BT24" s="9">
        <v>1.4018259999999998</v>
      </c>
      <c r="BU24" s="8">
        <f t="shared" si="4"/>
        <v>70.916399999999996</v>
      </c>
      <c r="BV24" s="8">
        <f t="shared" si="5"/>
        <v>69.266199999999984</v>
      </c>
      <c r="BW24" s="8">
        <f t="shared" si="6"/>
        <v>11.7072</v>
      </c>
      <c r="BY24">
        <f t="shared" si="7"/>
        <v>64.555800000000005</v>
      </c>
    </row>
    <row r="25" spans="1:77" x14ac:dyDescent="0.25">
      <c r="A25">
        <v>1009752</v>
      </c>
      <c r="B25">
        <v>9528</v>
      </c>
      <c r="C25" t="s">
        <v>46</v>
      </c>
      <c r="D25" t="str">
        <f t="shared" si="0"/>
        <v>WATER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25</v>
      </c>
      <c r="Z25" t="str">
        <f t="shared" si="1"/>
        <v>Lake</v>
      </c>
      <c r="AA25">
        <v>6</v>
      </c>
      <c r="AB25">
        <v>156457.58610099999</v>
      </c>
      <c r="AC25">
        <v>2289.7307639999999</v>
      </c>
      <c r="AD25">
        <v>143037.512587</v>
      </c>
      <c r="AE25">
        <v>0.143038</v>
      </c>
      <c r="AG25">
        <v>10182</v>
      </c>
      <c r="AH25">
        <v>1010404</v>
      </c>
      <c r="AL25">
        <v>2.1013000000000004E-2</v>
      </c>
      <c r="AP25">
        <v>5.1139999999999996E-3</v>
      </c>
      <c r="AQ25">
        <v>0.14815300000000001</v>
      </c>
      <c r="AR25">
        <v>4.7820999999999995E-2</v>
      </c>
      <c r="AX25">
        <v>0.22210100000000002</v>
      </c>
      <c r="AY25" s="8">
        <f t="shared" si="2"/>
        <v>0</v>
      </c>
      <c r="AZ25" s="8">
        <f t="shared" si="3"/>
        <v>22.210100000000001</v>
      </c>
      <c r="BB25" s="4"/>
      <c r="BC25">
        <v>10182</v>
      </c>
      <c r="BD25">
        <v>1010404</v>
      </c>
      <c r="BH25">
        <v>2.1013000000000004E-2</v>
      </c>
      <c r="BL25">
        <v>5.1139999999999996E-3</v>
      </c>
      <c r="BM25">
        <v>0.14815300000000001</v>
      </c>
      <c r="BN25">
        <v>4.7820999999999995E-2</v>
      </c>
      <c r="BT25" s="9">
        <v>0.22210100000000002</v>
      </c>
      <c r="BU25" s="8">
        <f t="shared" si="4"/>
        <v>0</v>
      </c>
      <c r="BV25" s="8">
        <f t="shared" si="5"/>
        <v>22.210100000000001</v>
      </c>
      <c r="BW25" s="8">
        <f t="shared" si="6"/>
        <v>0</v>
      </c>
      <c r="BY25">
        <f t="shared" si="7"/>
        <v>19.5974</v>
      </c>
    </row>
    <row r="26" spans="1:77" x14ac:dyDescent="0.25">
      <c r="A26">
        <v>1009804</v>
      </c>
      <c r="B26">
        <v>9676</v>
      </c>
      <c r="C26" t="s">
        <v>46</v>
      </c>
      <c r="D26" t="str">
        <f t="shared" si="0"/>
        <v>WATER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f t="shared" si="1"/>
        <v>NotLake</v>
      </c>
      <c r="AA26">
        <v>7</v>
      </c>
      <c r="AB26">
        <v>235586.04437799999</v>
      </c>
      <c r="AC26">
        <v>624.27935200000002</v>
      </c>
      <c r="AD26">
        <v>3008.7951760000001</v>
      </c>
      <c r="AE26">
        <v>3.009E-3</v>
      </c>
      <c r="AG26">
        <v>10241</v>
      </c>
      <c r="AH26">
        <v>1010423</v>
      </c>
      <c r="AN26">
        <v>3.9999999999999998E-6</v>
      </c>
      <c r="AR26">
        <v>0.33769900000000003</v>
      </c>
      <c r="AS26">
        <v>5.8723000000000004E-2</v>
      </c>
      <c r="AW26">
        <v>7.2989999999999999E-3</v>
      </c>
      <c r="AX26">
        <v>0.40372500000000006</v>
      </c>
      <c r="AY26" s="8">
        <f t="shared" si="2"/>
        <v>0.72989999999999999</v>
      </c>
      <c r="AZ26" s="8">
        <f t="shared" si="3"/>
        <v>39.642600000000002</v>
      </c>
      <c r="BB26" s="5"/>
      <c r="BC26">
        <v>10241</v>
      </c>
      <c r="BD26">
        <v>1010423</v>
      </c>
      <c r="BN26">
        <v>0.32984599999999997</v>
      </c>
      <c r="BO26">
        <v>5.8693000000000002E-2</v>
      </c>
      <c r="BS26">
        <v>1.5185999999999998E-2</v>
      </c>
      <c r="BT26" s="9">
        <v>0.40372499999999995</v>
      </c>
      <c r="BU26" s="8">
        <f t="shared" si="4"/>
        <v>1.5185999999999997</v>
      </c>
      <c r="BV26" s="8">
        <f t="shared" si="5"/>
        <v>38.853899999999996</v>
      </c>
      <c r="BW26" s="8">
        <f t="shared" si="6"/>
        <v>0.78869999999999973</v>
      </c>
      <c r="BY26">
        <f t="shared" si="7"/>
        <v>32.9846</v>
      </c>
    </row>
    <row r="27" spans="1:77" x14ac:dyDescent="0.25">
      <c r="A27">
        <v>1009804</v>
      </c>
      <c r="B27">
        <v>9676</v>
      </c>
      <c r="C27" t="s">
        <v>46</v>
      </c>
      <c r="D27" t="str">
        <f t="shared" si="0"/>
        <v>WATER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25</v>
      </c>
      <c r="Z27" t="str">
        <f t="shared" si="1"/>
        <v>Lake</v>
      </c>
      <c r="AA27">
        <v>7</v>
      </c>
      <c r="AB27">
        <v>235586.04437799999</v>
      </c>
      <c r="AC27">
        <v>2814.0834030000001</v>
      </c>
      <c r="AD27">
        <v>195973.91936299999</v>
      </c>
      <c r="AE27">
        <v>0.19597400000000001</v>
      </c>
      <c r="AG27">
        <v>10263</v>
      </c>
      <c r="AH27">
        <v>1010366</v>
      </c>
      <c r="AJ27">
        <v>3.5400000000000004E-4</v>
      </c>
      <c r="AQ27">
        <v>0.115262</v>
      </c>
      <c r="AR27">
        <v>0.54498600000000019</v>
      </c>
      <c r="AS27">
        <v>8.7430000000000008E-3</v>
      </c>
      <c r="AW27">
        <v>0.95366600000000001</v>
      </c>
      <c r="AX27">
        <v>1.623011</v>
      </c>
      <c r="AY27" s="8">
        <f t="shared" si="2"/>
        <v>95.366600000000005</v>
      </c>
      <c r="AZ27" s="8">
        <f t="shared" si="3"/>
        <v>66.934499999999986</v>
      </c>
      <c r="BB27" s="5"/>
      <c r="BC27">
        <v>10263</v>
      </c>
      <c r="BD27">
        <v>1010366</v>
      </c>
      <c r="BF27">
        <v>4.3000000000000002E-5</v>
      </c>
      <c r="BM27">
        <v>0.115262</v>
      </c>
      <c r="BN27">
        <v>0.53532099999999994</v>
      </c>
      <c r="BO27">
        <v>8.7430000000000008E-3</v>
      </c>
      <c r="BS27">
        <v>0.96364200000000022</v>
      </c>
      <c r="BT27" s="9">
        <v>1.623011</v>
      </c>
      <c r="BU27" s="8">
        <f t="shared" si="4"/>
        <v>96.364200000000025</v>
      </c>
      <c r="BV27" s="8">
        <f t="shared" si="5"/>
        <v>65.936899999999966</v>
      </c>
      <c r="BW27" s="8">
        <f t="shared" si="6"/>
        <v>0.9976000000000198</v>
      </c>
      <c r="BY27">
        <f t="shared" si="7"/>
        <v>65.062599999999989</v>
      </c>
    </row>
    <row r="28" spans="1:77" x14ac:dyDescent="0.25">
      <c r="A28">
        <v>1009808</v>
      </c>
      <c r="B28">
        <v>9675</v>
      </c>
      <c r="C28" t="s">
        <v>46</v>
      </c>
      <c r="D28" t="str">
        <f t="shared" si="0"/>
        <v>WATER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f t="shared" si="1"/>
        <v>NotLake</v>
      </c>
      <c r="AA28">
        <v>8</v>
      </c>
      <c r="AB28">
        <v>325505.16677000001</v>
      </c>
      <c r="AC28">
        <v>1814.342684</v>
      </c>
      <c r="AD28">
        <v>9602.3081980000006</v>
      </c>
      <c r="AE28">
        <v>9.6019999999999994E-3</v>
      </c>
      <c r="AG28">
        <v>10275</v>
      </c>
      <c r="AH28">
        <v>1010388</v>
      </c>
      <c r="AJ28">
        <v>0.290294</v>
      </c>
      <c r="AL28">
        <v>0.13456599999999999</v>
      </c>
      <c r="AO28">
        <v>1.1038000000000001E-2</v>
      </c>
      <c r="AP28">
        <v>9.1990000000000006E-3</v>
      </c>
      <c r="AX28">
        <v>0.44509700000000002</v>
      </c>
      <c r="AY28" s="8">
        <f t="shared" si="2"/>
        <v>0</v>
      </c>
      <c r="AZ28" s="8">
        <f t="shared" si="3"/>
        <v>44.509700000000002</v>
      </c>
      <c r="BB28" s="4"/>
      <c r="BC28">
        <v>10275</v>
      </c>
      <c r="BD28">
        <v>1010388</v>
      </c>
      <c r="BF28">
        <v>0.26337300000000002</v>
      </c>
      <c r="BH28">
        <v>0.13456599999999999</v>
      </c>
      <c r="BK28">
        <v>1.1038000000000001E-2</v>
      </c>
      <c r="BL28">
        <v>9.1990000000000006E-3</v>
      </c>
      <c r="BS28">
        <v>2.6921E-2</v>
      </c>
      <c r="BT28" s="9">
        <v>0.44509700000000008</v>
      </c>
      <c r="BU28" s="8">
        <f t="shared" si="4"/>
        <v>2.6920999999999999</v>
      </c>
      <c r="BV28" s="8">
        <f t="shared" si="5"/>
        <v>41.817600000000013</v>
      </c>
      <c r="BW28" s="8">
        <f t="shared" si="6"/>
        <v>2.6920999999999999</v>
      </c>
      <c r="BY28">
        <f t="shared" si="7"/>
        <v>27.441100000000002</v>
      </c>
    </row>
    <row r="29" spans="1:77" x14ac:dyDescent="0.25">
      <c r="A29">
        <v>1009808</v>
      </c>
      <c r="B29">
        <v>9675</v>
      </c>
      <c r="C29" t="s">
        <v>46</v>
      </c>
      <c r="D29" t="str">
        <f t="shared" si="0"/>
        <v>WATER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25</v>
      </c>
      <c r="Z29" t="str">
        <f t="shared" si="1"/>
        <v>Lake</v>
      </c>
      <c r="AA29">
        <v>8</v>
      </c>
      <c r="AB29">
        <v>325505.16677000001</v>
      </c>
      <c r="AC29">
        <v>3137.4975039999999</v>
      </c>
      <c r="AD29">
        <v>138570.75623500001</v>
      </c>
      <c r="AE29">
        <v>0.138571</v>
      </c>
      <c r="AG29">
        <v>10318</v>
      </c>
      <c r="AH29">
        <v>1010548</v>
      </c>
      <c r="AJ29">
        <v>0.13446999999999998</v>
      </c>
      <c r="AL29">
        <v>3.0183000000000001E-2</v>
      </c>
      <c r="AQ29">
        <v>5.0507000000000003E-2</v>
      </c>
      <c r="AR29">
        <v>2.7158999999999999E-2</v>
      </c>
      <c r="AS29">
        <v>1.2149999999999999E-2</v>
      </c>
      <c r="AX29">
        <v>0.254469</v>
      </c>
      <c r="AY29" s="8">
        <f t="shared" si="2"/>
        <v>0</v>
      </c>
      <c r="AZ29" s="8">
        <f t="shared" si="3"/>
        <v>25.446899999999999</v>
      </c>
      <c r="BB29" s="4"/>
      <c r="BC29">
        <v>10318</v>
      </c>
      <c r="BD29">
        <v>1010548</v>
      </c>
      <c r="BF29">
        <v>0.13446999999999998</v>
      </c>
      <c r="BH29">
        <v>3.0183000000000001E-2</v>
      </c>
      <c r="BM29">
        <v>5.0507000000000003E-2</v>
      </c>
      <c r="BN29">
        <v>2.7158999999999999E-2</v>
      </c>
      <c r="BO29">
        <v>1.2149999999999999E-2</v>
      </c>
      <c r="BT29" s="9">
        <v>0.254469</v>
      </c>
      <c r="BU29" s="8">
        <f t="shared" si="4"/>
        <v>0</v>
      </c>
      <c r="BV29" s="8">
        <f t="shared" si="5"/>
        <v>25.446899999999999</v>
      </c>
      <c r="BW29" s="8">
        <f t="shared" si="6"/>
        <v>0</v>
      </c>
      <c r="BY29">
        <f t="shared" si="7"/>
        <v>21.213599999999996</v>
      </c>
    </row>
    <row r="30" spans="1:77" x14ac:dyDescent="0.25">
      <c r="A30">
        <v>1009832</v>
      </c>
      <c r="B30">
        <v>9677</v>
      </c>
      <c r="C30" t="s">
        <v>46</v>
      </c>
      <c r="D30" t="str">
        <f t="shared" si="0"/>
        <v>WATER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f t="shared" si="1"/>
        <v>NotLake</v>
      </c>
      <c r="AA30">
        <v>9</v>
      </c>
      <c r="AB30">
        <v>2223666.1798299998</v>
      </c>
      <c r="AC30">
        <v>541.59723699999995</v>
      </c>
      <c r="AD30">
        <v>2045.5198049999999</v>
      </c>
      <c r="AE30">
        <v>2.0460000000000001E-3</v>
      </c>
      <c r="AG30">
        <v>10368</v>
      </c>
      <c r="AH30">
        <v>1010556</v>
      </c>
      <c r="AJ30">
        <v>2.7179999999999999E-3</v>
      </c>
      <c r="AQ30">
        <v>6.3271999999999995E-2</v>
      </c>
      <c r="AR30">
        <v>0.25063199999999997</v>
      </c>
      <c r="AS30">
        <v>2.4169E-2</v>
      </c>
      <c r="AX30">
        <v>0.34079099999999996</v>
      </c>
      <c r="AY30" s="8">
        <f t="shared" si="2"/>
        <v>0</v>
      </c>
      <c r="AZ30" s="8">
        <f t="shared" si="3"/>
        <v>34.079099999999997</v>
      </c>
      <c r="BB30" s="4"/>
      <c r="BC30">
        <v>10368</v>
      </c>
      <c r="BD30">
        <v>1010556</v>
      </c>
      <c r="BF30">
        <v>2.7179999999999999E-3</v>
      </c>
      <c r="BM30">
        <v>6.3271999999999995E-2</v>
      </c>
      <c r="BN30">
        <v>0.25063199999999997</v>
      </c>
      <c r="BO30">
        <v>2.4169E-2</v>
      </c>
      <c r="BT30" s="9">
        <v>0.34079099999999996</v>
      </c>
      <c r="BU30" s="8">
        <f t="shared" si="4"/>
        <v>0</v>
      </c>
      <c r="BV30" s="8">
        <f t="shared" si="5"/>
        <v>34.079099999999997</v>
      </c>
      <c r="BW30" s="8">
        <f t="shared" si="6"/>
        <v>0</v>
      </c>
      <c r="BY30">
        <f t="shared" si="7"/>
        <v>31.662199999999995</v>
      </c>
    </row>
    <row r="31" spans="1:77" x14ac:dyDescent="0.25">
      <c r="A31">
        <v>1009832</v>
      </c>
      <c r="B31">
        <v>9677</v>
      </c>
      <c r="C31" t="s">
        <v>46</v>
      </c>
      <c r="D31" t="str">
        <f t="shared" si="0"/>
        <v>WATER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25</v>
      </c>
      <c r="Z31" t="str">
        <f t="shared" si="1"/>
        <v>Lake</v>
      </c>
      <c r="AA31">
        <v>9</v>
      </c>
      <c r="AB31">
        <v>2223666.1798299998</v>
      </c>
      <c r="AC31">
        <v>7444.3194409999996</v>
      </c>
      <c r="AD31">
        <v>2120062.5409840001</v>
      </c>
      <c r="AE31">
        <v>2.120063</v>
      </c>
      <c r="AG31">
        <v>10369</v>
      </c>
      <c r="AH31">
        <v>1010387</v>
      </c>
      <c r="AJ31">
        <v>0.126418</v>
      </c>
      <c r="AQ31">
        <v>4.5158000000000004E-2</v>
      </c>
      <c r="AR31">
        <v>0.112566</v>
      </c>
      <c r="AX31">
        <v>0.28414200000000001</v>
      </c>
      <c r="AY31" s="8">
        <f t="shared" si="2"/>
        <v>0</v>
      </c>
      <c r="AZ31" s="8">
        <f t="shared" si="3"/>
        <v>28.414200000000001</v>
      </c>
      <c r="BB31" s="4"/>
      <c r="BC31">
        <v>10369</v>
      </c>
      <c r="BD31">
        <v>1010387</v>
      </c>
      <c r="BF31">
        <v>0.12124700000000001</v>
      </c>
      <c r="BM31">
        <v>4.5158000000000004E-2</v>
      </c>
      <c r="BN31">
        <v>0.112566</v>
      </c>
      <c r="BS31">
        <v>5.1710000000000002E-3</v>
      </c>
      <c r="BT31" s="9">
        <v>0.28414200000000001</v>
      </c>
      <c r="BU31" s="8">
        <f t="shared" si="4"/>
        <v>0.5171</v>
      </c>
      <c r="BV31" s="8">
        <f t="shared" si="5"/>
        <v>27.897100000000002</v>
      </c>
      <c r="BW31" s="8">
        <f t="shared" si="6"/>
        <v>0.5171</v>
      </c>
      <c r="BY31">
        <f t="shared" si="7"/>
        <v>27.897100000000002</v>
      </c>
    </row>
    <row r="32" spans="1:77" x14ac:dyDescent="0.25">
      <c r="A32">
        <v>1009840</v>
      </c>
      <c r="B32">
        <v>10134</v>
      </c>
      <c r="C32" t="s">
        <v>46</v>
      </c>
      <c r="D32" t="str">
        <f t="shared" si="0"/>
        <v>WATER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f t="shared" si="1"/>
        <v>NotLake</v>
      </c>
      <c r="AA32">
        <v>10</v>
      </c>
      <c r="AB32">
        <v>2209249.6887300001</v>
      </c>
      <c r="AC32">
        <v>7.7048079999999999</v>
      </c>
      <c r="AD32">
        <v>2.444334</v>
      </c>
      <c r="AE32">
        <v>1.9999999999999999E-6</v>
      </c>
      <c r="AG32">
        <v>10370</v>
      </c>
      <c r="AH32">
        <v>1010306</v>
      </c>
      <c r="AJ32">
        <v>0.116082</v>
      </c>
      <c r="AL32">
        <v>1.4861000000000001E-2</v>
      </c>
      <c r="AR32">
        <v>1.2E-5</v>
      </c>
      <c r="AW32">
        <v>3.0249999999999999E-3</v>
      </c>
      <c r="AX32">
        <v>0.13398000000000002</v>
      </c>
      <c r="AY32" s="8">
        <f t="shared" si="2"/>
        <v>0.30249999999999999</v>
      </c>
      <c r="AZ32" s="8">
        <f t="shared" si="3"/>
        <v>13.095500000000001</v>
      </c>
      <c r="BB32" s="5"/>
      <c r="BC32">
        <v>10370</v>
      </c>
      <c r="BD32">
        <v>1010306</v>
      </c>
      <c r="BF32">
        <v>5.0562999999999997E-2</v>
      </c>
      <c r="BH32">
        <v>1.4762000000000001E-2</v>
      </c>
      <c r="BN32">
        <v>1.2E-5</v>
      </c>
      <c r="BS32">
        <v>6.864300000000001E-2</v>
      </c>
      <c r="BT32" s="9">
        <v>0.13397999999999999</v>
      </c>
      <c r="BU32" s="8">
        <f t="shared" si="4"/>
        <v>6.864300000000001</v>
      </c>
      <c r="BV32" s="8">
        <f t="shared" si="5"/>
        <v>6.5336999999999987</v>
      </c>
      <c r="BW32" s="8">
        <f t="shared" si="6"/>
        <v>6.5618000000000007</v>
      </c>
      <c r="BY32">
        <f t="shared" si="7"/>
        <v>5.0574999999999992</v>
      </c>
    </row>
    <row r="33" spans="1:77" x14ac:dyDescent="0.25">
      <c r="A33">
        <v>1009840</v>
      </c>
      <c r="B33">
        <v>10134</v>
      </c>
      <c r="C33" t="s">
        <v>46</v>
      </c>
      <c r="D33" t="str">
        <f t="shared" si="0"/>
        <v>WATER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25</v>
      </c>
      <c r="Z33" t="str">
        <f t="shared" si="1"/>
        <v>Lake</v>
      </c>
      <c r="AA33">
        <v>10</v>
      </c>
      <c r="AB33">
        <v>2209249.6887300001</v>
      </c>
      <c r="AC33">
        <v>5090.0724970000001</v>
      </c>
      <c r="AD33">
        <v>783483.72561199998</v>
      </c>
      <c r="AE33">
        <v>0.78348399999999996</v>
      </c>
      <c r="AG33">
        <v>10371</v>
      </c>
      <c r="AH33">
        <v>1010300</v>
      </c>
      <c r="AJ33">
        <v>5.4819E-2</v>
      </c>
      <c r="AL33">
        <v>2.6359999999999999E-3</v>
      </c>
      <c r="AR33">
        <v>2.9376999999999997E-2</v>
      </c>
      <c r="AW33">
        <v>0.72422399999999998</v>
      </c>
      <c r="AX33">
        <v>0.811056</v>
      </c>
      <c r="AY33" s="8">
        <f t="shared" si="2"/>
        <v>72.422399999999996</v>
      </c>
      <c r="AZ33" s="8">
        <f t="shared" si="3"/>
        <v>8.6831999999999994</v>
      </c>
      <c r="BB33" s="5"/>
      <c r="BC33">
        <v>10371</v>
      </c>
      <c r="BD33">
        <v>1010300</v>
      </c>
      <c r="BF33">
        <v>4.8722000000000001E-2</v>
      </c>
      <c r="BH33">
        <v>2.6359999999999999E-3</v>
      </c>
      <c r="BN33">
        <v>2.9151E-2</v>
      </c>
      <c r="BS33">
        <v>0.73054700000000006</v>
      </c>
      <c r="BT33" s="9">
        <v>0.811056</v>
      </c>
      <c r="BU33" s="8">
        <f t="shared" si="4"/>
        <v>73.054700000000011</v>
      </c>
      <c r="BV33" s="8">
        <f t="shared" si="5"/>
        <v>8.0508999999999844</v>
      </c>
      <c r="BW33" s="8">
        <f t="shared" si="6"/>
        <v>0.63230000000001496</v>
      </c>
      <c r="BY33">
        <f t="shared" si="7"/>
        <v>7.7873000000000001</v>
      </c>
    </row>
    <row r="34" spans="1:77" x14ac:dyDescent="0.25">
      <c r="A34">
        <v>1009885</v>
      </c>
      <c r="B34">
        <v>9905</v>
      </c>
      <c r="C34" t="s">
        <v>46</v>
      </c>
      <c r="D34" t="str">
        <f t="shared" si="0"/>
        <v>WATER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f t="shared" si="1"/>
        <v>NotLake</v>
      </c>
      <c r="AA34">
        <v>11</v>
      </c>
      <c r="AB34">
        <v>303926.051056</v>
      </c>
      <c r="AC34">
        <v>379.54783700000002</v>
      </c>
      <c r="AD34">
        <v>1345.232802</v>
      </c>
      <c r="AE34">
        <v>1.3450000000000001E-3</v>
      </c>
      <c r="AG34">
        <v>10402</v>
      </c>
      <c r="AH34">
        <v>1010461</v>
      </c>
      <c r="AJ34">
        <v>0.22150600000000001</v>
      </c>
      <c r="AL34">
        <v>0.16364700000000001</v>
      </c>
      <c r="AO34">
        <v>7.6384000000000007E-2</v>
      </c>
      <c r="AP34">
        <v>1.8220000000000001E-3</v>
      </c>
      <c r="AQ34">
        <v>0.211506</v>
      </c>
      <c r="AR34">
        <v>0.26388999999999996</v>
      </c>
      <c r="AX34">
        <v>0.93875500000000001</v>
      </c>
      <c r="AY34" s="8">
        <f t="shared" si="2"/>
        <v>0</v>
      </c>
      <c r="AZ34" s="8">
        <f t="shared" si="3"/>
        <v>93.875500000000002</v>
      </c>
      <c r="BB34" s="4"/>
      <c r="BC34">
        <v>10402</v>
      </c>
      <c r="BD34">
        <v>1010461</v>
      </c>
      <c r="BF34">
        <v>0.22150600000000001</v>
      </c>
      <c r="BH34">
        <v>0.16364700000000001</v>
      </c>
      <c r="BK34">
        <v>7.6384000000000007E-2</v>
      </c>
      <c r="BL34">
        <v>1.8220000000000001E-3</v>
      </c>
      <c r="BM34">
        <v>0.211506</v>
      </c>
      <c r="BN34">
        <v>0.26388999999999996</v>
      </c>
      <c r="BT34" s="9">
        <v>0.93875500000000001</v>
      </c>
      <c r="BU34" s="8">
        <f t="shared" si="4"/>
        <v>0</v>
      </c>
      <c r="BV34" s="8">
        <f t="shared" si="5"/>
        <v>93.875500000000002</v>
      </c>
      <c r="BW34" s="8">
        <f t="shared" si="6"/>
        <v>0</v>
      </c>
      <c r="BY34">
        <f t="shared" si="7"/>
        <v>77.328599999999994</v>
      </c>
    </row>
    <row r="35" spans="1:77" x14ac:dyDescent="0.25">
      <c r="A35">
        <v>1009885</v>
      </c>
      <c r="B35">
        <v>9905</v>
      </c>
      <c r="C35" t="s">
        <v>46</v>
      </c>
      <c r="D35" t="str">
        <f t="shared" si="0"/>
        <v>WATER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100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25</v>
      </c>
      <c r="Z35" t="str">
        <f t="shared" si="1"/>
        <v>Lake</v>
      </c>
      <c r="AA35">
        <v>11</v>
      </c>
      <c r="AB35">
        <v>303926.051056</v>
      </c>
      <c r="AC35">
        <v>2144.7284199999999</v>
      </c>
      <c r="AD35">
        <v>28344.447048000002</v>
      </c>
      <c r="AE35">
        <v>2.8344000000000001E-2</v>
      </c>
      <c r="AG35">
        <v>10414</v>
      </c>
      <c r="AH35">
        <v>1010462</v>
      </c>
      <c r="AJ35">
        <v>0.7313400000000001</v>
      </c>
      <c r="AL35">
        <v>5.8638000000000003E-2</v>
      </c>
      <c r="AO35">
        <v>0.243922</v>
      </c>
      <c r="AP35">
        <v>8.4670000000000006E-3</v>
      </c>
      <c r="AQ35">
        <v>5.0868000000000003E-2</v>
      </c>
      <c r="AR35">
        <v>5.9532000000000009E-2</v>
      </c>
      <c r="AX35">
        <v>1.1527669999999999</v>
      </c>
      <c r="AY35" s="8">
        <f t="shared" si="2"/>
        <v>0</v>
      </c>
      <c r="AZ35" s="8">
        <f t="shared" si="3"/>
        <v>115.27669999999999</v>
      </c>
      <c r="BB35" s="7"/>
      <c r="BC35">
        <v>10414</v>
      </c>
      <c r="BD35">
        <v>1010462</v>
      </c>
      <c r="BF35">
        <v>0.7313400000000001</v>
      </c>
      <c r="BH35">
        <v>5.8638000000000003E-2</v>
      </c>
      <c r="BK35">
        <v>0.243922</v>
      </c>
      <c r="BL35">
        <v>8.4670000000000006E-3</v>
      </c>
      <c r="BM35">
        <v>5.0868000000000003E-2</v>
      </c>
      <c r="BN35">
        <v>5.9532000000000009E-2</v>
      </c>
      <c r="BT35" s="9">
        <v>1.1527669999999999</v>
      </c>
      <c r="BU35" s="8">
        <f t="shared" si="4"/>
        <v>0</v>
      </c>
      <c r="BV35" s="8">
        <f t="shared" si="5"/>
        <v>115.27669999999999</v>
      </c>
      <c r="BW35" s="8">
        <f t="shared" si="6"/>
        <v>0</v>
      </c>
      <c r="BY35">
        <f t="shared" si="7"/>
        <v>108.56619999999999</v>
      </c>
    </row>
    <row r="36" spans="1:77" x14ac:dyDescent="0.25">
      <c r="A36">
        <v>1010120</v>
      </c>
      <c r="B36">
        <v>9963</v>
      </c>
      <c r="C36" t="s">
        <v>46</v>
      </c>
      <c r="D36" t="str">
        <f t="shared" si="0"/>
        <v>WATER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25</v>
      </c>
      <c r="Z36" t="str">
        <f t="shared" si="1"/>
        <v>Lake</v>
      </c>
      <c r="AA36">
        <v>13</v>
      </c>
      <c r="AB36">
        <v>333592.609</v>
      </c>
      <c r="AC36">
        <v>3058.5913390000001</v>
      </c>
      <c r="AD36">
        <v>333592.60904000001</v>
      </c>
      <c r="AE36">
        <v>0.33359299999999997</v>
      </c>
      <c r="AG36">
        <v>10415</v>
      </c>
      <c r="AH36">
        <v>1010398</v>
      </c>
      <c r="AJ36">
        <v>4.9509999999999992E-2</v>
      </c>
      <c r="AL36">
        <v>6.8922999999999998E-2</v>
      </c>
      <c r="AO36">
        <v>3.2100000000000002E-3</v>
      </c>
      <c r="AQ36">
        <v>5.8338000000000001E-2</v>
      </c>
      <c r="AR36">
        <v>3.2230000000000002E-2</v>
      </c>
      <c r="AX36">
        <v>0.21221100000000001</v>
      </c>
      <c r="AY36" s="8">
        <f t="shared" si="2"/>
        <v>0</v>
      </c>
      <c r="AZ36" s="8">
        <f t="shared" si="3"/>
        <v>21.2211</v>
      </c>
      <c r="BB36" s="4"/>
      <c r="BC36">
        <v>10415</v>
      </c>
      <c r="BD36">
        <v>1010398</v>
      </c>
      <c r="BF36">
        <v>4.9509999999999992E-2</v>
      </c>
      <c r="BH36">
        <v>6.8922999999999998E-2</v>
      </c>
      <c r="BK36">
        <v>3.2100000000000002E-3</v>
      </c>
      <c r="BM36">
        <v>5.8338000000000001E-2</v>
      </c>
      <c r="BN36">
        <v>3.2230000000000002E-2</v>
      </c>
      <c r="BT36" s="9">
        <v>0.21221100000000001</v>
      </c>
      <c r="BU36" s="8">
        <f t="shared" si="4"/>
        <v>0</v>
      </c>
      <c r="BV36" s="8">
        <f t="shared" si="5"/>
        <v>21.2211</v>
      </c>
      <c r="BW36" s="8">
        <f t="shared" si="6"/>
        <v>0</v>
      </c>
      <c r="BY36">
        <f t="shared" si="7"/>
        <v>14.328799999999999</v>
      </c>
    </row>
    <row r="37" spans="1:77" x14ac:dyDescent="0.25">
      <c r="A37">
        <v>1010121</v>
      </c>
      <c r="B37">
        <v>9962</v>
      </c>
      <c r="C37" t="s">
        <v>46</v>
      </c>
      <c r="D37" t="str">
        <f t="shared" si="0"/>
        <v>WATER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f t="shared" si="1"/>
        <v>NotLake</v>
      </c>
      <c r="AA37">
        <v>14</v>
      </c>
      <c r="AB37">
        <v>1941333.5943100001</v>
      </c>
      <c r="AC37">
        <v>60.213169000000001</v>
      </c>
      <c r="AD37">
        <v>202.131</v>
      </c>
      <c r="AE37">
        <v>2.02E-4</v>
      </c>
      <c r="AG37">
        <v>10416</v>
      </c>
      <c r="AH37">
        <v>1010367</v>
      </c>
      <c r="AL37">
        <v>2.7871E-2</v>
      </c>
      <c r="AQ37">
        <v>7.3327000000000003E-2</v>
      </c>
      <c r="AR37">
        <v>0.142482</v>
      </c>
      <c r="AX37">
        <v>0.24368000000000001</v>
      </c>
      <c r="AY37" s="8">
        <f t="shared" si="2"/>
        <v>0</v>
      </c>
      <c r="AZ37" s="8">
        <f t="shared" si="3"/>
        <v>24.368000000000002</v>
      </c>
      <c r="BC37">
        <v>10416</v>
      </c>
      <c r="BD37">
        <v>1010367</v>
      </c>
      <c r="BH37">
        <v>2.7871E-2</v>
      </c>
      <c r="BM37">
        <v>7.3327000000000003E-2</v>
      </c>
      <c r="BN37">
        <v>0.142482</v>
      </c>
      <c r="BT37" s="9">
        <v>0.24368000000000001</v>
      </c>
      <c r="BU37" s="8">
        <f t="shared" si="4"/>
        <v>0</v>
      </c>
      <c r="BV37" s="8">
        <f t="shared" si="5"/>
        <v>24.368000000000002</v>
      </c>
      <c r="BW37" s="8">
        <f t="shared" si="6"/>
        <v>0</v>
      </c>
      <c r="BY37">
        <f t="shared" si="7"/>
        <v>21.5809</v>
      </c>
    </row>
    <row r="38" spans="1:77" x14ac:dyDescent="0.25">
      <c r="A38">
        <v>1010121</v>
      </c>
      <c r="B38">
        <v>9962</v>
      </c>
      <c r="C38" t="s">
        <v>46</v>
      </c>
      <c r="D38" t="str">
        <f t="shared" si="0"/>
        <v>WATER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25</v>
      </c>
      <c r="Z38" t="str">
        <f t="shared" si="1"/>
        <v>Lake</v>
      </c>
      <c r="AA38">
        <v>14</v>
      </c>
      <c r="AB38">
        <v>1941333.5943100001</v>
      </c>
      <c r="AC38">
        <v>7732.8356560000002</v>
      </c>
      <c r="AD38">
        <v>1892531.6193240001</v>
      </c>
      <c r="AE38">
        <v>1.8925320000000001</v>
      </c>
      <c r="AG38">
        <v>10417</v>
      </c>
      <c r="AH38">
        <v>1010219</v>
      </c>
      <c r="AJ38">
        <v>0.36188600000000004</v>
      </c>
      <c r="AL38">
        <v>1.3103999999999999E-2</v>
      </c>
      <c r="AM38">
        <v>9.1929999999999998E-3</v>
      </c>
      <c r="AO38">
        <v>9.2080999999999996E-2</v>
      </c>
      <c r="AP38">
        <v>9.0740000000000005E-3</v>
      </c>
      <c r="AR38">
        <v>9.3353999999999993E-2</v>
      </c>
      <c r="AW38">
        <v>1.2502439999999999</v>
      </c>
      <c r="AX38">
        <v>1.8289359999999999</v>
      </c>
      <c r="AY38" s="8">
        <f t="shared" si="2"/>
        <v>125.02439999999999</v>
      </c>
      <c r="AZ38" s="8">
        <f t="shared" si="3"/>
        <v>57.869200000000006</v>
      </c>
      <c r="BC38">
        <v>10417</v>
      </c>
      <c r="BD38">
        <v>1010219</v>
      </c>
      <c r="BF38">
        <v>0.19939099999999998</v>
      </c>
      <c r="BH38">
        <v>1.3103999999999999E-2</v>
      </c>
      <c r="BI38">
        <v>9.1929999999999998E-3</v>
      </c>
      <c r="BK38">
        <v>9.2080999999999996E-2</v>
      </c>
      <c r="BL38">
        <v>9.0740000000000005E-3</v>
      </c>
      <c r="BN38">
        <v>9.3353999999999993E-2</v>
      </c>
      <c r="BS38">
        <v>1.412739</v>
      </c>
      <c r="BT38" s="9">
        <v>1.8289359999999999</v>
      </c>
      <c r="BU38" s="8">
        <f t="shared" si="4"/>
        <v>141.2739</v>
      </c>
      <c r="BV38" s="8">
        <f t="shared" si="5"/>
        <v>41.619699999999995</v>
      </c>
      <c r="BW38" s="8">
        <f t="shared" si="6"/>
        <v>16.249500000000012</v>
      </c>
      <c r="BY38">
        <f t="shared" si="7"/>
        <v>38.482599999999998</v>
      </c>
    </row>
    <row r="39" spans="1:77" x14ac:dyDescent="0.25">
      <c r="A39">
        <v>1010139</v>
      </c>
      <c r="B39">
        <v>9961</v>
      </c>
      <c r="C39" t="s">
        <v>46</v>
      </c>
      <c r="D39" t="str">
        <f t="shared" si="0"/>
        <v>WATER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100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f t="shared" si="1"/>
        <v>NotLake</v>
      </c>
      <c r="AA39">
        <v>15</v>
      </c>
      <c r="AB39">
        <v>1662601.4959199999</v>
      </c>
      <c r="AC39">
        <v>1425.769718</v>
      </c>
      <c r="AD39">
        <v>8086.4714919999997</v>
      </c>
      <c r="AE39">
        <v>8.0859999999999994E-3</v>
      </c>
      <c r="AG39">
        <v>10418</v>
      </c>
      <c r="AH39">
        <v>1010218</v>
      </c>
      <c r="AW39">
        <v>0.16275000000000001</v>
      </c>
      <c r="AX39">
        <v>0.16275000000000001</v>
      </c>
      <c r="AY39" s="8">
        <f t="shared" si="2"/>
        <v>16.275000000000002</v>
      </c>
      <c r="AZ39" s="8">
        <f t="shared" si="3"/>
        <v>0</v>
      </c>
      <c r="BC39">
        <v>10418</v>
      </c>
      <c r="BD39">
        <v>1010218</v>
      </c>
      <c r="BS39">
        <v>0.16275000000000001</v>
      </c>
      <c r="BT39" s="9">
        <v>0.16275000000000001</v>
      </c>
      <c r="BU39" s="8">
        <f t="shared" si="4"/>
        <v>16.275000000000002</v>
      </c>
      <c r="BV39" s="8">
        <f t="shared" si="5"/>
        <v>0</v>
      </c>
      <c r="BW39" s="8">
        <f t="shared" si="6"/>
        <v>0</v>
      </c>
      <c r="BY39">
        <f t="shared" si="7"/>
        <v>0</v>
      </c>
    </row>
    <row r="40" spans="1:77" x14ac:dyDescent="0.25">
      <c r="A40">
        <v>1010139</v>
      </c>
      <c r="B40">
        <v>9961</v>
      </c>
      <c r="C40" t="s">
        <v>46</v>
      </c>
      <c r="D40" t="str">
        <f t="shared" si="0"/>
        <v>WATER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25</v>
      </c>
      <c r="Z40" t="str">
        <f t="shared" si="1"/>
        <v>Lake</v>
      </c>
      <c r="AA40">
        <v>15</v>
      </c>
      <c r="AB40">
        <v>1662601.4959199999</v>
      </c>
      <c r="AC40">
        <v>3006.4451330000002</v>
      </c>
      <c r="AD40">
        <v>447496.95138599997</v>
      </c>
      <c r="AE40">
        <v>0.44749699999999998</v>
      </c>
      <c r="AG40">
        <v>10419</v>
      </c>
      <c r="AH40">
        <v>1010287</v>
      </c>
      <c r="AW40">
        <v>1.2588E-2</v>
      </c>
      <c r="AX40">
        <v>1.2588E-2</v>
      </c>
      <c r="AY40" s="8">
        <f t="shared" si="2"/>
        <v>1.2587999999999999</v>
      </c>
      <c r="AZ40" s="8">
        <f t="shared" si="3"/>
        <v>0</v>
      </c>
      <c r="BC40">
        <v>10419</v>
      </c>
      <c r="BD40">
        <v>1010287</v>
      </c>
      <c r="BS40">
        <v>1.2588E-2</v>
      </c>
      <c r="BT40" s="9">
        <v>1.2588E-2</v>
      </c>
      <c r="BU40" s="8">
        <f t="shared" si="4"/>
        <v>1.2587999999999999</v>
      </c>
      <c r="BV40" s="8">
        <f t="shared" si="5"/>
        <v>0</v>
      </c>
      <c r="BW40" s="8">
        <f t="shared" si="6"/>
        <v>0</v>
      </c>
      <c r="BY40">
        <f t="shared" si="7"/>
        <v>0</v>
      </c>
    </row>
    <row r="41" spans="1:77" x14ac:dyDescent="0.25">
      <c r="A41">
        <v>1010218</v>
      </c>
      <c r="B41">
        <v>10418</v>
      </c>
      <c r="C41" t="s">
        <v>46</v>
      </c>
      <c r="D41" t="str">
        <f t="shared" si="0"/>
        <v>WATER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25</v>
      </c>
      <c r="Z41" t="str">
        <f t="shared" si="1"/>
        <v>Lake</v>
      </c>
      <c r="AA41">
        <v>17</v>
      </c>
      <c r="AB41">
        <v>162749.60359000001</v>
      </c>
      <c r="AC41">
        <v>2218.974741</v>
      </c>
      <c r="AD41">
        <v>162749.603585</v>
      </c>
      <c r="AE41">
        <v>0.16275000000000001</v>
      </c>
      <c r="AG41">
        <v>10420</v>
      </c>
      <c r="AH41">
        <v>1010299</v>
      </c>
      <c r="AW41">
        <v>2.6974999999999999E-2</v>
      </c>
      <c r="AX41">
        <v>2.6974999999999999E-2</v>
      </c>
      <c r="AY41" s="8">
        <f t="shared" si="2"/>
        <v>2.6974999999999998</v>
      </c>
      <c r="AZ41" s="8">
        <f t="shared" si="3"/>
        <v>0</v>
      </c>
      <c r="BC41">
        <v>10420</v>
      </c>
      <c r="BD41">
        <v>1010299</v>
      </c>
      <c r="BS41">
        <v>2.6974999999999999E-2</v>
      </c>
      <c r="BT41" s="9">
        <v>2.6974999999999999E-2</v>
      </c>
      <c r="BU41" s="8">
        <f t="shared" si="4"/>
        <v>2.6974999999999998</v>
      </c>
      <c r="BV41" s="8">
        <f t="shared" si="5"/>
        <v>0</v>
      </c>
      <c r="BW41" s="8">
        <f t="shared" si="6"/>
        <v>0</v>
      </c>
      <c r="BY41">
        <f t="shared" si="7"/>
        <v>0</v>
      </c>
    </row>
    <row r="42" spans="1:77" x14ac:dyDescent="0.25">
      <c r="A42">
        <v>1010219</v>
      </c>
      <c r="B42">
        <v>10417</v>
      </c>
      <c r="C42" t="s">
        <v>46</v>
      </c>
      <c r="D42" t="str">
        <f t="shared" si="0"/>
        <v>WATER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25</v>
      </c>
      <c r="Z42" t="str">
        <f t="shared" si="1"/>
        <v>Lake</v>
      </c>
      <c r="AA42">
        <v>18</v>
      </c>
      <c r="AB42">
        <v>1828937.2124999999</v>
      </c>
      <c r="AC42">
        <v>7541.8307869999999</v>
      </c>
      <c r="AD42">
        <v>1250244.1839719999</v>
      </c>
      <c r="AE42">
        <v>1.2502439999999999</v>
      </c>
      <c r="AG42">
        <v>10421</v>
      </c>
      <c r="AH42">
        <v>1010326</v>
      </c>
      <c r="AW42">
        <v>3.3269E-2</v>
      </c>
      <c r="AX42">
        <v>3.3269E-2</v>
      </c>
      <c r="AY42" s="8">
        <f t="shared" si="2"/>
        <v>3.3269000000000002</v>
      </c>
      <c r="AZ42" s="8">
        <f t="shared" si="3"/>
        <v>0</v>
      </c>
      <c r="BC42">
        <v>10421</v>
      </c>
      <c r="BD42">
        <v>1010326</v>
      </c>
      <c r="BS42">
        <v>3.3269E-2</v>
      </c>
      <c r="BT42" s="9">
        <v>3.3269E-2</v>
      </c>
      <c r="BU42" s="8">
        <f t="shared" si="4"/>
        <v>3.3269000000000002</v>
      </c>
      <c r="BV42" s="8">
        <f t="shared" si="5"/>
        <v>0</v>
      </c>
      <c r="BW42" s="8">
        <f t="shared" si="6"/>
        <v>0</v>
      </c>
      <c r="BY42">
        <f t="shared" si="7"/>
        <v>0</v>
      </c>
    </row>
    <row r="43" spans="1:77" x14ac:dyDescent="0.25">
      <c r="A43">
        <v>1010287</v>
      </c>
      <c r="B43">
        <v>10419</v>
      </c>
      <c r="C43" t="s">
        <v>46</v>
      </c>
      <c r="D43" t="str">
        <f t="shared" si="0"/>
        <v>WATER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25</v>
      </c>
      <c r="Z43" t="str">
        <f t="shared" si="1"/>
        <v>Lake</v>
      </c>
      <c r="AA43">
        <v>19</v>
      </c>
      <c r="AB43">
        <v>12588.342906</v>
      </c>
      <c r="AC43">
        <v>599.72226599999999</v>
      </c>
      <c r="AD43">
        <v>12588.342903999999</v>
      </c>
      <c r="AE43">
        <v>1.2588E-2</v>
      </c>
      <c r="AG43">
        <v>10422</v>
      </c>
      <c r="AH43">
        <v>1010350</v>
      </c>
      <c r="AW43">
        <v>6.2940000000000001E-3</v>
      </c>
      <c r="AX43">
        <v>6.2940000000000001E-3</v>
      </c>
      <c r="AY43" s="8">
        <f t="shared" si="2"/>
        <v>0.62939999999999996</v>
      </c>
      <c r="AZ43" s="8">
        <f t="shared" si="3"/>
        <v>0</v>
      </c>
      <c r="BC43">
        <v>10422</v>
      </c>
      <c r="BD43">
        <v>1010350</v>
      </c>
      <c r="BS43">
        <v>6.2940000000000001E-3</v>
      </c>
      <c r="BT43" s="9">
        <v>6.2940000000000001E-3</v>
      </c>
      <c r="BU43" s="8">
        <f t="shared" si="4"/>
        <v>0.62939999999999996</v>
      </c>
      <c r="BV43" s="8">
        <f t="shared" si="5"/>
        <v>0</v>
      </c>
      <c r="BW43" s="8">
        <f t="shared" si="6"/>
        <v>0</v>
      </c>
      <c r="BY43">
        <f t="shared" si="7"/>
        <v>0</v>
      </c>
    </row>
    <row r="44" spans="1:77" x14ac:dyDescent="0.25">
      <c r="A44">
        <v>1010288</v>
      </c>
      <c r="B44">
        <v>10178</v>
      </c>
      <c r="C44" t="s">
        <v>46</v>
      </c>
      <c r="D44" t="str">
        <f t="shared" si="0"/>
        <v>WATER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25</v>
      </c>
      <c r="Z44" t="str">
        <f t="shared" si="1"/>
        <v>Lake</v>
      </c>
      <c r="AA44">
        <v>20</v>
      </c>
      <c r="AB44">
        <v>1401826.08345</v>
      </c>
      <c r="AC44">
        <v>7323.834734</v>
      </c>
      <c r="AD44">
        <v>592092.246942</v>
      </c>
      <c r="AE44">
        <v>0.59209199999999995</v>
      </c>
      <c r="AG44">
        <v>10429</v>
      </c>
      <c r="AH44">
        <v>1010474</v>
      </c>
      <c r="AL44">
        <v>3.8029999999999994E-2</v>
      </c>
      <c r="AP44">
        <v>7.0971999999999993E-2</v>
      </c>
      <c r="AQ44">
        <v>7.5787999999999994E-2</v>
      </c>
      <c r="AR44">
        <v>0.81713400000000014</v>
      </c>
      <c r="AS44">
        <v>0.13100599999999998</v>
      </c>
      <c r="AW44">
        <v>0.41185100000000002</v>
      </c>
      <c r="AX44">
        <v>1.544781</v>
      </c>
      <c r="AY44" s="8">
        <f t="shared" si="2"/>
        <v>41.185100000000006</v>
      </c>
      <c r="AZ44" s="8">
        <f t="shared" si="3"/>
        <v>113.29299999999998</v>
      </c>
      <c r="BC44">
        <v>10429</v>
      </c>
      <c r="BD44">
        <v>1010474</v>
      </c>
      <c r="BH44">
        <v>3.8029999999999994E-2</v>
      </c>
      <c r="BL44">
        <v>7.0971999999999993E-2</v>
      </c>
      <c r="BM44">
        <v>7.5787999999999994E-2</v>
      </c>
      <c r="BN44">
        <v>0.80938199999999993</v>
      </c>
      <c r="BO44">
        <v>0.108087</v>
      </c>
      <c r="BS44">
        <v>0.44252200000000003</v>
      </c>
      <c r="BT44" s="9">
        <v>1.544781</v>
      </c>
      <c r="BU44" s="8">
        <f t="shared" si="4"/>
        <v>44.252200000000002</v>
      </c>
      <c r="BV44" s="8">
        <f t="shared" si="5"/>
        <v>110.22589999999998</v>
      </c>
      <c r="BW44" s="8">
        <f t="shared" si="6"/>
        <v>3.0670999999999964</v>
      </c>
      <c r="BY44">
        <f t="shared" si="7"/>
        <v>88.516999999999996</v>
      </c>
    </row>
    <row r="45" spans="1:77" x14ac:dyDescent="0.25">
      <c r="A45">
        <v>1010299</v>
      </c>
      <c r="B45">
        <v>10420</v>
      </c>
      <c r="C45" t="s">
        <v>46</v>
      </c>
      <c r="D45" t="str">
        <f t="shared" si="0"/>
        <v>WATER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25</v>
      </c>
      <c r="Z45" t="str">
        <f t="shared" si="1"/>
        <v>Lake</v>
      </c>
      <c r="AA45">
        <v>21</v>
      </c>
      <c r="AB45">
        <v>26975.005026999999</v>
      </c>
      <c r="AC45">
        <v>899.58329600000002</v>
      </c>
      <c r="AD45">
        <v>26975.005004999999</v>
      </c>
      <c r="AE45">
        <v>2.6974999999999999E-2</v>
      </c>
      <c r="AG45">
        <v>10449</v>
      </c>
      <c r="AH45">
        <v>1010660</v>
      </c>
      <c r="AL45">
        <v>3.1050000000000001E-2</v>
      </c>
      <c r="AP45">
        <v>0.117591</v>
      </c>
      <c r="AR45">
        <v>0.29344700000000001</v>
      </c>
      <c r="AS45">
        <v>7.1341000000000002E-2</v>
      </c>
      <c r="AX45">
        <v>0.51342900000000002</v>
      </c>
      <c r="AY45" s="8">
        <f t="shared" si="2"/>
        <v>0</v>
      </c>
      <c r="AZ45" s="8">
        <f t="shared" si="3"/>
        <v>51.3429</v>
      </c>
      <c r="BC45">
        <v>10449</v>
      </c>
      <c r="BD45">
        <v>1010660</v>
      </c>
      <c r="BH45">
        <v>3.1050000000000001E-2</v>
      </c>
      <c r="BL45">
        <v>0.117591</v>
      </c>
      <c r="BN45">
        <v>0.29344700000000001</v>
      </c>
      <c r="BO45">
        <v>7.1341000000000002E-2</v>
      </c>
      <c r="BT45" s="9">
        <v>0.51342900000000002</v>
      </c>
      <c r="BU45" s="8">
        <f t="shared" si="4"/>
        <v>0</v>
      </c>
      <c r="BV45" s="8">
        <f t="shared" si="5"/>
        <v>51.3429</v>
      </c>
      <c r="BW45" s="8">
        <f t="shared" si="6"/>
        <v>0</v>
      </c>
      <c r="BY45">
        <f t="shared" si="7"/>
        <v>29.344700000000003</v>
      </c>
    </row>
    <row r="46" spans="1:77" x14ac:dyDescent="0.25">
      <c r="A46">
        <v>1010300</v>
      </c>
      <c r="B46">
        <v>10371</v>
      </c>
      <c r="C46" t="s">
        <v>46</v>
      </c>
      <c r="D46" t="str">
        <f t="shared" si="0"/>
        <v>WATER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f t="shared" si="1"/>
        <v>NotLake</v>
      </c>
      <c r="AA46">
        <v>22</v>
      </c>
      <c r="AB46">
        <v>811054.57942700002</v>
      </c>
      <c r="AC46">
        <v>219.71260699999999</v>
      </c>
      <c r="AD46">
        <v>468.04139300000003</v>
      </c>
      <c r="AE46">
        <v>4.6799999999999999E-4</v>
      </c>
      <c r="AG46">
        <v>10614</v>
      </c>
      <c r="AH46">
        <v>1010848</v>
      </c>
      <c r="AL46">
        <v>3.9355000000000001E-2</v>
      </c>
      <c r="AP46">
        <v>0.26585399999999998</v>
      </c>
      <c r="AR46">
        <v>7.3958999999999997E-2</v>
      </c>
      <c r="AS46">
        <v>0.14145199999999999</v>
      </c>
      <c r="AX46">
        <v>0.52061999999999997</v>
      </c>
      <c r="AY46" s="8">
        <f t="shared" si="2"/>
        <v>0</v>
      </c>
      <c r="AZ46" s="8">
        <f t="shared" si="3"/>
        <v>52.061999999999998</v>
      </c>
      <c r="BC46">
        <v>10614</v>
      </c>
      <c r="BD46">
        <v>1010848</v>
      </c>
      <c r="BH46">
        <v>3.9355000000000001E-2</v>
      </c>
      <c r="BL46">
        <v>0.26585399999999998</v>
      </c>
      <c r="BN46">
        <v>7.3958999999999997E-2</v>
      </c>
      <c r="BO46">
        <v>0.14145199999999999</v>
      </c>
      <c r="BT46" s="9">
        <v>0.52061999999999997</v>
      </c>
      <c r="BU46" s="8">
        <f t="shared" si="4"/>
        <v>0</v>
      </c>
      <c r="BV46" s="8">
        <f t="shared" si="5"/>
        <v>52.061999999999998</v>
      </c>
      <c r="BW46" s="8">
        <f t="shared" si="6"/>
        <v>0</v>
      </c>
      <c r="BY46">
        <f t="shared" si="7"/>
        <v>7.3958999999999993</v>
      </c>
    </row>
    <row r="47" spans="1:77" x14ac:dyDescent="0.25">
      <c r="A47">
        <v>1010300</v>
      </c>
      <c r="B47">
        <v>10371</v>
      </c>
      <c r="C47" t="s">
        <v>46</v>
      </c>
      <c r="D47" t="str">
        <f t="shared" si="0"/>
        <v>WATER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25</v>
      </c>
      <c r="Z47" t="str">
        <f t="shared" si="1"/>
        <v>Lake</v>
      </c>
      <c r="AA47">
        <v>22</v>
      </c>
      <c r="AB47">
        <v>811054.57942700002</v>
      </c>
      <c r="AC47">
        <v>6557.0060510000003</v>
      </c>
      <c r="AD47">
        <v>723755.74913200003</v>
      </c>
      <c r="AE47">
        <v>0.72375599999999995</v>
      </c>
      <c r="AG47">
        <v>10694</v>
      </c>
      <c r="AH47">
        <v>1010847</v>
      </c>
      <c r="AL47">
        <v>2.6042000000000003E-2</v>
      </c>
      <c r="AP47">
        <v>0.39362599999999998</v>
      </c>
      <c r="AQ47">
        <v>1.9576E-2</v>
      </c>
      <c r="AR47">
        <v>4.0243000000000001E-2</v>
      </c>
      <c r="AS47">
        <v>1.9550999999999999E-2</v>
      </c>
      <c r="AX47">
        <v>0.49903799999999998</v>
      </c>
      <c r="AY47" s="8">
        <f t="shared" si="2"/>
        <v>0</v>
      </c>
      <c r="AZ47" s="8">
        <f t="shared" si="3"/>
        <v>49.903799999999997</v>
      </c>
      <c r="BC47">
        <v>10694</v>
      </c>
      <c r="BD47">
        <v>1010847</v>
      </c>
      <c r="BH47">
        <v>2.6042000000000003E-2</v>
      </c>
      <c r="BL47">
        <v>0.39362599999999998</v>
      </c>
      <c r="BM47">
        <v>1.9576E-2</v>
      </c>
      <c r="BN47">
        <v>4.0243000000000001E-2</v>
      </c>
      <c r="BO47">
        <v>1.9550999999999999E-2</v>
      </c>
      <c r="BT47" s="9">
        <v>0.49903799999999998</v>
      </c>
      <c r="BU47" s="8">
        <f t="shared" si="4"/>
        <v>0</v>
      </c>
      <c r="BV47" s="8">
        <f t="shared" si="5"/>
        <v>49.903799999999997</v>
      </c>
      <c r="BW47" s="8">
        <f t="shared" si="6"/>
        <v>0</v>
      </c>
      <c r="BY47">
        <f t="shared" si="7"/>
        <v>5.9818999999999996</v>
      </c>
    </row>
    <row r="48" spans="1:77" x14ac:dyDescent="0.25">
      <c r="A48">
        <v>1010301</v>
      </c>
      <c r="B48">
        <v>10173</v>
      </c>
      <c r="C48" t="s">
        <v>46</v>
      </c>
      <c r="D48" t="str">
        <f t="shared" si="0"/>
        <v>WATER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25</v>
      </c>
      <c r="Z48" t="str">
        <f t="shared" si="1"/>
        <v>Lake</v>
      </c>
      <c r="AA48">
        <v>23</v>
      </c>
      <c r="AB48">
        <v>425314.40753199998</v>
      </c>
      <c r="AC48">
        <v>696.37292400000001</v>
      </c>
      <c r="AD48">
        <v>14679.626866000001</v>
      </c>
      <c r="AE48">
        <v>1.468E-2</v>
      </c>
      <c r="AG48">
        <v>10695</v>
      </c>
      <c r="AH48">
        <v>1010665</v>
      </c>
      <c r="AP48">
        <v>0.129326</v>
      </c>
      <c r="AR48">
        <v>8.8448000000000013E-2</v>
      </c>
      <c r="AS48">
        <v>0.14459100000000003</v>
      </c>
      <c r="AX48">
        <v>0.36236500000000005</v>
      </c>
      <c r="AY48" s="8">
        <f t="shared" si="2"/>
        <v>0</v>
      </c>
      <c r="AZ48" s="8">
        <f t="shared" si="3"/>
        <v>36.236500000000007</v>
      </c>
      <c r="BC48">
        <v>10695</v>
      </c>
      <c r="BD48">
        <v>1010665</v>
      </c>
      <c r="BL48">
        <v>0.129326</v>
      </c>
      <c r="BN48">
        <v>8.8448000000000013E-2</v>
      </c>
      <c r="BO48">
        <v>0.14459100000000003</v>
      </c>
      <c r="BT48" s="9">
        <v>0.36236500000000005</v>
      </c>
      <c r="BU48" s="8">
        <f t="shared" si="4"/>
        <v>0</v>
      </c>
      <c r="BV48" s="8">
        <f t="shared" si="5"/>
        <v>36.236500000000007</v>
      </c>
      <c r="BW48" s="8">
        <f t="shared" si="6"/>
        <v>0</v>
      </c>
      <c r="BY48">
        <f t="shared" si="7"/>
        <v>8.8448000000000011</v>
      </c>
    </row>
    <row r="49" spans="1:77" x14ac:dyDescent="0.25">
      <c r="A49">
        <v>1010306</v>
      </c>
      <c r="B49">
        <v>10370</v>
      </c>
      <c r="C49" t="s">
        <v>46</v>
      </c>
      <c r="D49" t="str">
        <f t="shared" si="0"/>
        <v>WATER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25</v>
      </c>
      <c r="Z49" t="str">
        <f t="shared" si="1"/>
        <v>Lake</v>
      </c>
      <c r="AA49">
        <v>24</v>
      </c>
      <c r="AB49">
        <v>133978.16968799999</v>
      </c>
      <c r="AC49">
        <v>288.37874499999998</v>
      </c>
      <c r="AD49">
        <v>3024.94263</v>
      </c>
      <c r="AE49">
        <v>3.0249999999999999E-3</v>
      </c>
      <c r="AG49">
        <v>10696</v>
      </c>
      <c r="AH49">
        <v>1010490</v>
      </c>
      <c r="AN49">
        <v>1.1722999999999999E-2</v>
      </c>
      <c r="AP49">
        <v>5.3865999999999997E-2</v>
      </c>
      <c r="AR49">
        <v>0.63611899999999999</v>
      </c>
      <c r="AS49">
        <v>0.13361400000000001</v>
      </c>
      <c r="AW49">
        <v>0.17534499999999997</v>
      </c>
      <c r="AX49">
        <v>1.010667</v>
      </c>
      <c r="AY49" s="8">
        <f t="shared" si="2"/>
        <v>17.534499999999998</v>
      </c>
      <c r="AZ49" s="8">
        <f t="shared" si="3"/>
        <v>83.532200000000003</v>
      </c>
      <c r="BC49">
        <v>10696</v>
      </c>
      <c r="BD49">
        <v>1010490</v>
      </c>
      <c r="BJ49">
        <v>1.1405999999999999E-2</v>
      </c>
      <c r="BL49">
        <v>5.3865999999999997E-2</v>
      </c>
      <c r="BN49">
        <v>0.61388399999999999</v>
      </c>
      <c r="BO49">
        <v>5.9379000000000001E-2</v>
      </c>
      <c r="BS49">
        <v>0.27213199999999999</v>
      </c>
      <c r="BT49" s="9">
        <v>1.010667</v>
      </c>
      <c r="BU49" s="8">
        <f t="shared" si="4"/>
        <v>27.213199999999997</v>
      </c>
      <c r="BV49" s="8">
        <f t="shared" si="5"/>
        <v>73.853499999999997</v>
      </c>
      <c r="BW49" s="8">
        <f t="shared" si="6"/>
        <v>9.6786999999999992</v>
      </c>
      <c r="BY49">
        <f t="shared" si="7"/>
        <v>61.388399999999997</v>
      </c>
    </row>
    <row r="50" spans="1:77" x14ac:dyDescent="0.25">
      <c r="A50">
        <v>1010326</v>
      </c>
      <c r="B50">
        <v>10421</v>
      </c>
      <c r="C50" t="s">
        <v>46</v>
      </c>
      <c r="D50" t="str">
        <f t="shared" si="0"/>
        <v>WATER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100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25</v>
      </c>
      <c r="Z50" t="str">
        <f t="shared" si="1"/>
        <v>Lake</v>
      </c>
      <c r="AA50">
        <v>25</v>
      </c>
      <c r="AB50">
        <v>33269.157705999998</v>
      </c>
      <c r="AC50">
        <v>959.55530199999998</v>
      </c>
      <c r="AD50">
        <v>33269.157700000003</v>
      </c>
      <c r="AE50">
        <v>3.3269E-2</v>
      </c>
      <c r="AG50">
        <v>10697</v>
      </c>
      <c r="AH50">
        <v>1010424</v>
      </c>
      <c r="AN50">
        <v>2.2849999999999997E-3</v>
      </c>
      <c r="AR50">
        <v>8.8449E-2</v>
      </c>
      <c r="AS50">
        <v>3.0869999999999999E-3</v>
      </c>
      <c r="AW50">
        <v>9.7698999999999994E-2</v>
      </c>
      <c r="AX50">
        <v>0.19152</v>
      </c>
      <c r="AY50" s="8">
        <f t="shared" si="2"/>
        <v>9.7698999999999998</v>
      </c>
      <c r="AZ50" s="8">
        <f t="shared" si="3"/>
        <v>9.3821000000000012</v>
      </c>
      <c r="BC50">
        <v>10697</v>
      </c>
      <c r="BD50">
        <v>1010424</v>
      </c>
      <c r="BN50">
        <v>7.6239000000000001E-2</v>
      </c>
      <c r="BO50">
        <v>1.03E-4</v>
      </c>
      <c r="BS50">
        <v>0.115178</v>
      </c>
      <c r="BT50" s="9">
        <v>0.19152000000000002</v>
      </c>
      <c r="BU50" s="8">
        <f t="shared" si="4"/>
        <v>11.517800000000001</v>
      </c>
      <c r="BV50" s="8">
        <f t="shared" si="5"/>
        <v>7.6341999999999999</v>
      </c>
      <c r="BW50" s="8">
        <f t="shared" si="6"/>
        <v>1.7479000000000013</v>
      </c>
      <c r="BY50">
        <f t="shared" si="7"/>
        <v>7.6238999999999999</v>
      </c>
    </row>
    <row r="51" spans="1:77" x14ac:dyDescent="0.25">
      <c r="A51">
        <v>1010350</v>
      </c>
      <c r="B51">
        <v>10422</v>
      </c>
      <c r="C51" t="s">
        <v>46</v>
      </c>
      <c r="D51" t="str">
        <f t="shared" si="0"/>
        <v>WATER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25</v>
      </c>
      <c r="Z51" t="str">
        <f t="shared" si="1"/>
        <v>Lake</v>
      </c>
      <c r="AA51">
        <v>27</v>
      </c>
      <c r="AB51">
        <v>6294.1556890000002</v>
      </c>
      <c r="AC51">
        <v>359.83313800000002</v>
      </c>
      <c r="AD51">
        <v>6294.1556950000004</v>
      </c>
      <c r="AE51">
        <v>6.2940000000000001E-3</v>
      </c>
      <c r="AG51">
        <v>10698</v>
      </c>
      <c r="AH51">
        <v>1010371</v>
      </c>
      <c r="AR51">
        <v>1.34E-4</v>
      </c>
      <c r="AS51">
        <v>7.6619999999999995E-3</v>
      </c>
      <c r="AW51">
        <v>5.8742999999999997E-2</v>
      </c>
      <c r="AX51">
        <v>6.6539000000000001E-2</v>
      </c>
      <c r="AY51" s="8">
        <f t="shared" si="2"/>
        <v>5.8742999999999999</v>
      </c>
      <c r="AZ51" s="8">
        <f t="shared" si="3"/>
        <v>0.77960000000000029</v>
      </c>
      <c r="BC51">
        <v>10698</v>
      </c>
      <c r="BD51">
        <v>1010371</v>
      </c>
      <c r="BO51">
        <v>4.8979999999999996E-3</v>
      </c>
      <c r="BS51">
        <v>6.1641000000000001E-2</v>
      </c>
      <c r="BT51" s="9">
        <v>6.6539000000000001E-2</v>
      </c>
      <c r="BU51" s="8">
        <f t="shared" si="4"/>
        <v>6.1641000000000004</v>
      </c>
      <c r="BV51" s="8">
        <f t="shared" si="5"/>
        <v>0.48979999999999979</v>
      </c>
      <c r="BW51" s="8">
        <f t="shared" si="6"/>
        <v>0.2898000000000005</v>
      </c>
      <c r="BY51">
        <f t="shared" si="7"/>
        <v>0</v>
      </c>
    </row>
    <row r="52" spans="1:77" x14ac:dyDescent="0.25">
      <c r="A52">
        <v>1010359</v>
      </c>
      <c r="B52">
        <v>10700</v>
      </c>
      <c r="C52" t="s">
        <v>46</v>
      </c>
      <c r="D52" t="str">
        <f t="shared" si="0"/>
        <v>WATER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100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25</v>
      </c>
      <c r="Z52" t="str">
        <f t="shared" si="1"/>
        <v>Lake</v>
      </c>
      <c r="AA52">
        <v>28</v>
      </c>
      <c r="AB52">
        <v>311110.45064200001</v>
      </c>
      <c r="AC52">
        <v>739.98243100000002</v>
      </c>
      <c r="AD52">
        <v>19780.101869999999</v>
      </c>
      <c r="AE52">
        <v>1.9779999999999999E-2</v>
      </c>
      <c r="AG52">
        <v>10699</v>
      </c>
      <c r="AH52">
        <v>1010360</v>
      </c>
      <c r="AW52">
        <v>2.2478999999999999E-2</v>
      </c>
      <c r="AX52">
        <v>2.2478999999999999E-2</v>
      </c>
      <c r="AY52" s="8">
        <f t="shared" si="2"/>
        <v>2.2479</v>
      </c>
      <c r="AZ52" s="8">
        <f t="shared" si="3"/>
        <v>0</v>
      </c>
      <c r="BC52">
        <v>10699</v>
      </c>
      <c r="BD52">
        <v>1010360</v>
      </c>
      <c r="BS52">
        <v>2.2478999999999999E-2</v>
      </c>
      <c r="BT52" s="9">
        <v>2.2478999999999999E-2</v>
      </c>
      <c r="BU52" s="8">
        <f t="shared" si="4"/>
        <v>2.2479</v>
      </c>
      <c r="BV52" s="8">
        <f t="shared" si="5"/>
        <v>0</v>
      </c>
      <c r="BW52" s="8">
        <f t="shared" si="6"/>
        <v>0</v>
      </c>
      <c r="BY52">
        <f t="shared" si="7"/>
        <v>0</v>
      </c>
    </row>
    <row r="53" spans="1:77" x14ac:dyDescent="0.25">
      <c r="A53">
        <v>1010360</v>
      </c>
      <c r="B53">
        <v>10699</v>
      </c>
      <c r="C53" t="s">
        <v>46</v>
      </c>
      <c r="D53" t="str">
        <f t="shared" si="0"/>
        <v>WATER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100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25</v>
      </c>
      <c r="Z53" t="str">
        <f t="shared" si="1"/>
        <v>Lake</v>
      </c>
      <c r="AA53">
        <v>29</v>
      </c>
      <c r="AB53">
        <v>22479.141538</v>
      </c>
      <c r="AC53">
        <v>959.55490099999997</v>
      </c>
      <c r="AD53">
        <v>22479.141576999999</v>
      </c>
      <c r="AE53">
        <v>2.2478999999999999E-2</v>
      </c>
      <c r="AG53">
        <v>10700</v>
      </c>
      <c r="AH53">
        <v>1010359</v>
      </c>
      <c r="AL53">
        <v>1.3911E-2</v>
      </c>
      <c r="AR53">
        <v>2.8274000000000001E-2</v>
      </c>
      <c r="AS53">
        <v>0.214119</v>
      </c>
      <c r="AW53">
        <v>5.4806999999999995E-2</v>
      </c>
      <c r="AX53">
        <v>0.31111099999999997</v>
      </c>
      <c r="AY53" s="8">
        <f t="shared" si="2"/>
        <v>5.4806999999999997</v>
      </c>
      <c r="AZ53" s="8">
        <f t="shared" si="3"/>
        <v>25.630399999999998</v>
      </c>
      <c r="BC53">
        <v>10700</v>
      </c>
      <c r="BD53">
        <v>1010359</v>
      </c>
      <c r="BH53">
        <v>1.3911E-2</v>
      </c>
      <c r="BN53">
        <v>2.8274000000000001E-2</v>
      </c>
      <c r="BO53">
        <v>0.203954</v>
      </c>
      <c r="BS53">
        <v>6.4972000000000002E-2</v>
      </c>
      <c r="BT53" s="9">
        <v>0.31111100000000003</v>
      </c>
      <c r="BU53" s="8">
        <f t="shared" si="4"/>
        <v>6.4972000000000003</v>
      </c>
      <c r="BV53" s="8">
        <f t="shared" si="5"/>
        <v>24.613900000000005</v>
      </c>
      <c r="BW53" s="8">
        <f t="shared" si="6"/>
        <v>1.0165000000000006</v>
      </c>
      <c r="BY53">
        <f t="shared" si="7"/>
        <v>2.8273999999999999</v>
      </c>
    </row>
    <row r="54" spans="1:77" x14ac:dyDescent="0.25">
      <c r="A54">
        <v>1010366</v>
      </c>
      <c r="B54">
        <v>10263</v>
      </c>
      <c r="C54" t="s">
        <v>46</v>
      </c>
      <c r="D54" t="str">
        <f t="shared" si="0"/>
        <v>WATER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100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f t="shared" si="1"/>
        <v>NotLake</v>
      </c>
      <c r="AA54">
        <v>30</v>
      </c>
      <c r="AB54">
        <v>1623010.61307</v>
      </c>
      <c r="AC54">
        <v>479.38113399999997</v>
      </c>
      <c r="AD54">
        <v>2237.032162</v>
      </c>
      <c r="AE54">
        <v>2.2369999999999998E-3</v>
      </c>
      <c r="AG54">
        <v>10701</v>
      </c>
      <c r="AH54">
        <v>1010422</v>
      </c>
      <c r="AL54">
        <v>3.0000000000000001E-5</v>
      </c>
      <c r="AR54">
        <v>0.101081</v>
      </c>
      <c r="AS54">
        <v>5.4445E-2</v>
      </c>
      <c r="AX54">
        <v>0.155556</v>
      </c>
      <c r="AY54" s="8">
        <f t="shared" si="2"/>
        <v>0</v>
      </c>
      <c r="AZ54" s="8">
        <f t="shared" si="3"/>
        <v>15.5556</v>
      </c>
      <c r="BC54">
        <v>10701</v>
      </c>
      <c r="BD54">
        <v>1010422</v>
      </c>
      <c r="BH54">
        <v>3.0000000000000001E-5</v>
      </c>
      <c r="BN54">
        <v>0.101081</v>
      </c>
      <c r="BO54">
        <v>5.4445E-2</v>
      </c>
      <c r="BT54" s="9">
        <v>0.155556</v>
      </c>
      <c r="BU54" s="8">
        <f t="shared" si="4"/>
        <v>0</v>
      </c>
      <c r="BV54" s="8">
        <f t="shared" si="5"/>
        <v>15.5556</v>
      </c>
      <c r="BW54" s="8">
        <f t="shared" si="6"/>
        <v>0</v>
      </c>
      <c r="BY54">
        <f t="shared" si="7"/>
        <v>10.1081</v>
      </c>
    </row>
    <row r="55" spans="1:77" x14ac:dyDescent="0.25">
      <c r="A55">
        <v>1010366</v>
      </c>
      <c r="B55">
        <v>10263</v>
      </c>
      <c r="C55" t="s">
        <v>46</v>
      </c>
      <c r="D55" t="str">
        <f t="shared" si="0"/>
        <v>WATER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100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25</v>
      </c>
      <c r="Z55" t="str">
        <f t="shared" si="1"/>
        <v>Lake</v>
      </c>
      <c r="AA55">
        <v>30</v>
      </c>
      <c r="AB55">
        <v>1623010.61307</v>
      </c>
      <c r="AC55">
        <v>6432.5526719999998</v>
      </c>
      <c r="AD55">
        <v>951428.512674</v>
      </c>
      <c r="AE55">
        <v>0.95142899999999997</v>
      </c>
      <c r="AG55" t="s">
        <v>22</v>
      </c>
      <c r="AI55">
        <v>3.8279999999999998E-3</v>
      </c>
      <c r="AJ55">
        <v>5.987584</v>
      </c>
      <c r="AK55">
        <v>6.11E-4</v>
      </c>
      <c r="AL55">
        <v>0.99459599999999981</v>
      </c>
      <c r="AM55">
        <v>6.0996000000000002E-2</v>
      </c>
      <c r="AN55">
        <v>1.9561999999999996E-2</v>
      </c>
      <c r="AO55">
        <v>0.51918600000000004</v>
      </c>
      <c r="AP55">
        <v>1.2641020000000001</v>
      </c>
      <c r="AQ55">
        <v>1.0075879999999999</v>
      </c>
      <c r="AR55">
        <v>7.0605060000000002</v>
      </c>
      <c r="AS55">
        <v>1.0926439999999999</v>
      </c>
      <c r="AT55">
        <v>1.9443999999999999E-2</v>
      </c>
      <c r="AU55">
        <v>0.25668400000000002</v>
      </c>
      <c r="AV55">
        <v>6.6600000000000003E-4</v>
      </c>
      <c r="AW55">
        <v>13.245309000000001</v>
      </c>
      <c r="AX55">
        <v>31.533306000000003</v>
      </c>
      <c r="AY55" s="8">
        <f t="shared" si="2"/>
        <v>1324.5309</v>
      </c>
      <c r="AZ55" s="8">
        <f t="shared" si="3"/>
        <v>1828.7997000000003</v>
      </c>
      <c r="BC55" t="s">
        <v>22</v>
      </c>
      <c r="BE55">
        <v>3.8279999999999998E-3</v>
      </c>
      <c r="BF55">
        <v>5.1592410000000006</v>
      </c>
      <c r="BG55">
        <v>6.11E-4</v>
      </c>
      <c r="BH55">
        <v>0.97348900000000005</v>
      </c>
      <c r="BI55">
        <v>6.0996000000000002E-2</v>
      </c>
      <c r="BJ55">
        <v>1.321E-2</v>
      </c>
      <c r="BK55">
        <v>0.51918600000000004</v>
      </c>
      <c r="BL55">
        <v>1.1985749999999999</v>
      </c>
      <c r="BM55">
        <v>1.0075879999999999</v>
      </c>
      <c r="BN55">
        <v>6.8756339999999989</v>
      </c>
      <c r="BO55">
        <v>0.94445299999999976</v>
      </c>
      <c r="BP55">
        <v>1.1146E-2</v>
      </c>
      <c r="BQ55">
        <v>0.25496000000000002</v>
      </c>
      <c r="BR55">
        <v>6.6600000000000003E-4</v>
      </c>
      <c r="BS55">
        <v>14.509722999999999</v>
      </c>
      <c r="BT55" s="9">
        <v>31.533306000000003</v>
      </c>
      <c r="BU55" s="8">
        <f t="shared" si="4"/>
        <v>1450.9722999999999</v>
      </c>
      <c r="BV55" s="8">
        <f t="shared" si="5"/>
        <v>1702.3583000000003</v>
      </c>
      <c r="BW55" s="8">
        <f t="shared" si="6"/>
        <v>126.44139999999993</v>
      </c>
      <c r="BY55">
        <f t="shared" si="7"/>
        <v>1356.1649</v>
      </c>
    </row>
    <row r="56" spans="1:77" x14ac:dyDescent="0.25">
      <c r="A56">
        <v>1010371</v>
      </c>
      <c r="B56">
        <v>10698</v>
      </c>
      <c r="C56" t="s">
        <v>46</v>
      </c>
      <c r="D56" t="str">
        <f t="shared" si="0"/>
        <v>WATER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25</v>
      </c>
      <c r="Z56" t="str">
        <f t="shared" si="1"/>
        <v>Lake</v>
      </c>
      <c r="AA56">
        <v>32</v>
      </c>
      <c r="AB56">
        <v>66538.247600000002</v>
      </c>
      <c r="AC56">
        <v>1174.0109419999999</v>
      </c>
      <c r="AD56">
        <v>49553.059545999997</v>
      </c>
      <c r="AE56">
        <v>4.9553E-2</v>
      </c>
      <c r="BW56" s="8"/>
    </row>
    <row r="57" spans="1:77" x14ac:dyDescent="0.25">
      <c r="A57">
        <v>1010423</v>
      </c>
      <c r="B57">
        <v>10241</v>
      </c>
      <c r="C57" t="s">
        <v>46</v>
      </c>
      <c r="D57" t="str">
        <f t="shared" si="0"/>
        <v>WATER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100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25</v>
      </c>
      <c r="Z57" t="str">
        <f t="shared" si="1"/>
        <v>Lake</v>
      </c>
      <c r="AA57">
        <v>38</v>
      </c>
      <c r="AB57">
        <v>403724.58460399997</v>
      </c>
      <c r="AC57">
        <v>457.79064199999999</v>
      </c>
      <c r="AD57">
        <v>7235.2905870000004</v>
      </c>
      <c r="AE57">
        <v>7.2350000000000001E-3</v>
      </c>
      <c r="AG57" s="1" t="s">
        <v>60</v>
      </c>
      <c r="AI57" s="1" t="s">
        <v>58</v>
      </c>
      <c r="BC57" s="1" t="s">
        <v>60</v>
      </c>
      <c r="BE57" s="1" t="s">
        <v>59</v>
      </c>
      <c r="BT57"/>
      <c r="BW57" s="8"/>
    </row>
    <row r="58" spans="1:77" x14ac:dyDescent="0.25">
      <c r="A58">
        <v>1010424</v>
      </c>
      <c r="B58">
        <v>10697</v>
      </c>
      <c r="C58" t="s">
        <v>46</v>
      </c>
      <c r="D58" t="str">
        <f t="shared" si="0"/>
        <v>WATER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25</v>
      </c>
      <c r="Z58" t="str">
        <f t="shared" si="1"/>
        <v>Lake</v>
      </c>
      <c r="AA58">
        <v>39</v>
      </c>
      <c r="AB58">
        <v>191522.43302999999</v>
      </c>
      <c r="AC58">
        <v>1402.840954</v>
      </c>
      <c r="AD58">
        <v>97699.285640999995</v>
      </c>
      <c r="AE58">
        <v>9.7698999999999994E-2</v>
      </c>
      <c r="AG58" s="1" t="s">
        <v>56</v>
      </c>
      <c r="AH58" s="1" t="s">
        <v>7</v>
      </c>
      <c r="AI58" t="s">
        <v>40</v>
      </c>
      <c r="AJ58" t="s">
        <v>33</v>
      </c>
      <c r="AK58" t="s">
        <v>52</v>
      </c>
      <c r="AL58" t="s">
        <v>43</v>
      </c>
      <c r="AM58" t="s">
        <v>38</v>
      </c>
      <c r="AN58" t="s">
        <v>47</v>
      </c>
      <c r="AO58" t="s">
        <v>49</v>
      </c>
      <c r="AP58" t="s">
        <v>42</v>
      </c>
      <c r="AQ58" t="s">
        <v>35</v>
      </c>
      <c r="AR58" t="s">
        <v>34</v>
      </c>
      <c r="AS58" t="s">
        <v>44</v>
      </c>
      <c r="AT58" t="s">
        <v>50</v>
      </c>
      <c r="AU58" t="s">
        <v>51</v>
      </c>
      <c r="AV58" t="s">
        <v>45</v>
      </c>
      <c r="AW58" t="s">
        <v>46</v>
      </c>
      <c r="AX58" t="s">
        <v>22</v>
      </c>
      <c r="AY58" t="s">
        <v>63</v>
      </c>
      <c r="AZ58" t="s">
        <v>64</v>
      </c>
      <c r="BC58" s="1" t="s">
        <v>56</v>
      </c>
      <c r="BD58" s="1" t="s">
        <v>7</v>
      </c>
      <c r="BE58" t="s">
        <v>40</v>
      </c>
      <c r="BF58" t="s">
        <v>33</v>
      </c>
      <c r="BG58" t="s">
        <v>52</v>
      </c>
      <c r="BH58" t="s">
        <v>43</v>
      </c>
      <c r="BI58" t="s">
        <v>38</v>
      </c>
      <c r="BJ58" t="s">
        <v>47</v>
      </c>
      <c r="BK58" t="s">
        <v>49</v>
      </c>
      <c r="BL58" t="s">
        <v>42</v>
      </c>
      <c r="BM58" t="s">
        <v>35</v>
      </c>
      <c r="BN58" t="s">
        <v>34</v>
      </c>
      <c r="BO58" t="s">
        <v>44</v>
      </c>
      <c r="BP58" t="s">
        <v>50</v>
      </c>
      <c r="BQ58" t="s">
        <v>51</v>
      </c>
      <c r="BR58" t="s">
        <v>45</v>
      </c>
      <c r="BS58" t="s">
        <v>46</v>
      </c>
      <c r="BT58" t="s">
        <v>22</v>
      </c>
      <c r="BU58" t="s">
        <v>63</v>
      </c>
      <c r="BV58" t="s">
        <v>64</v>
      </c>
      <c r="BW58" s="8" t="s">
        <v>68</v>
      </c>
    </row>
    <row r="59" spans="1:77" x14ac:dyDescent="0.25">
      <c r="A59">
        <v>1010474</v>
      </c>
      <c r="B59">
        <v>10429</v>
      </c>
      <c r="C59" t="s">
        <v>46</v>
      </c>
      <c r="D59" t="str">
        <f t="shared" si="0"/>
        <v>WATER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f t="shared" si="1"/>
        <v>NotLake</v>
      </c>
      <c r="AA59">
        <v>42</v>
      </c>
      <c r="AB59">
        <v>1544781.51786</v>
      </c>
      <c r="AC59">
        <v>144.67697999999999</v>
      </c>
      <c r="AD59">
        <v>621.61674700000003</v>
      </c>
      <c r="AE59">
        <v>6.2200000000000005E-4</v>
      </c>
      <c r="AG59">
        <v>9454</v>
      </c>
      <c r="AH59">
        <v>1009647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0.33321668767886331</v>
      </c>
      <c r="AS59" s="10">
        <v>0</v>
      </c>
      <c r="AT59" s="10">
        <v>0</v>
      </c>
      <c r="AU59" s="10">
        <v>0.17176392197843815</v>
      </c>
      <c r="AV59" s="10">
        <v>0</v>
      </c>
      <c r="AW59" s="10">
        <v>0.4950193903426986</v>
      </c>
      <c r="AX59" s="10">
        <v>1</v>
      </c>
      <c r="AY59" s="10">
        <f>AW59</f>
        <v>0.4950193903426986</v>
      </c>
      <c r="AZ59" s="10">
        <f>1-AY59</f>
        <v>0.5049806096573014</v>
      </c>
      <c r="BA59" s="10"/>
      <c r="BC59">
        <v>9454</v>
      </c>
      <c r="BD59">
        <v>1009647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0.33321668767886331</v>
      </c>
      <c r="BO59" s="10">
        <v>0</v>
      </c>
      <c r="BP59" s="10">
        <v>0</v>
      </c>
      <c r="BQ59" s="10">
        <v>0.17176392197843815</v>
      </c>
      <c r="BR59" s="10">
        <v>0</v>
      </c>
      <c r="BS59" s="10">
        <v>0.4950193903426986</v>
      </c>
      <c r="BT59" s="10">
        <v>1</v>
      </c>
      <c r="BU59" s="10">
        <f>BS59</f>
        <v>0.4950193903426986</v>
      </c>
      <c r="BV59" s="10">
        <f>1-BU59</f>
        <v>0.5049806096573014</v>
      </c>
      <c r="BW59" s="11">
        <f t="shared" si="6"/>
        <v>0</v>
      </c>
    </row>
    <row r="60" spans="1:77" x14ac:dyDescent="0.25">
      <c r="A60">
        <v>1010474</v>
      </c>
      <c r="B60">
        <v>10429</v>
      </c>
      <c r="C60" t="s">
        <v>46</v>
      </c>
      <c r="D60" t="str">
        <f t="shared" si="0"/>
        <v>WATER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100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25</v>
      </c>
      <c r="Z60" t="str">
        <f t="shared" si="1"/>
        <v>Lake</v>
      </c>
      <c r="AA60">
        <v>42</v>
      </c>
      <c r="AB60">
        <v>1544781.51786</v>
      </c>
      <c r="AC60">
        <v>3877.27142</v>
      </c>
      <c r="AD60">
        <v>411229.25422800001</v>
      </c>
      <c r="AE60">
        <v>0.41122900000000001</v>
      </c>
      <c r="AG60">
        <v>9479</v>
      </c>
      <c r="AH60">
        <v>1009699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0.50691639027304014</v>
      </c>
      <c r="AS60" s="10">
        <v>0</v>
      </c>
      <c r="AT60" s="10">
        <v>0</v>
      </c>
      <c r="AU60" s="10">
        <v>0.1175825644088844</v>
      </c>
      <c r="AV60" s="10">
        <v>0</v>
      </c>
      <c r="AW60" s="10">
        <v>0.37550104531807532</v>
      </c>
      <c r="AX60" s="10">
        <v>1</v>
      </c>
      <c r="AY60" s="10">
        <f t="shared" ref="AY60:AY109" si="8">AW60</f>
        <v>0.37550104531807532</v>
      </c>
      <c r="AZ60" s="10">
        <f t="shared" ref="AZ60:AZ109" si="9">1-AY60</f>
        <v>0.62449895468192462</v>
      </c>
      <c r="BA60" s="10"/>
      <c r="BC60">
        <v>9479</v>
      </c>
      <c r="BD60">
        <v>1009699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0.50691639027304014</v>
      </c>
      <c r="BO60" s="10">
        <v>0</v>
      </c>
      <c r="BP60" s="10">
        <v>0</v>
      </c>
      <c r="BQ60" s="10">
        <v>0.1175825644088844</v>
      </c>
      <c r="BR60" s="10">
        <v>0</v>
      </c>
      <c r="BS60" s="10">
        <v>0.37550104531807532</v>
      </c>
      <c r="BT60" s="10">
        <v>1</v>
      </c>
      <c r="BU60" s="10">
        <f t="shared" ref="BU60:BU109" si="10">BS60</f>
        <v>0.37550104531807532</v>
      </c>
      <c r="BV60" s="10">
        <f t="shared" ref="BV60:BV109" si="11">1-BU60</f>
        <v>0.62449895468192462</v>
      </c>
      <c r="BW60" s="11">
        <f t="shared" si="6"/>
        <v>0</v>
      </c>
    </row>
    <row r="61" spans="1:77" x14ac:dyDescent="0.25">
      <c r="A61">
        <v>1010490</v>
      </c>
      <c r="B61">
        <v>10696</v>
      </c>
      <c r="C61" t="s">
        <v>46</v>
      </c>
      <c r="D61" t="str">
        <f t="shared" si="0"/>
        <v>WATER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f t="shared" si="1"/>
        <v>NotLake</v>
      </c>
      <c r="AA61">
        <v>43</v>
      </c>
      <c r="AB61">
        <v>1010666.12703</v>
      </c>
      <c r="AC61">
        <v>131.574084</v>
      </c>
      <c r="AD61">
        <v>375.25685900000002</v>
      </c>
      <c r="AE61">
        <v>3.7500000000000001E-4</v>
      </c>
      <c r="AG61">
        <v>9480</v>
      </c>
      <c r="AH61">
        <v>1009698</v>
      </c>
      <c r="AI61" s="10">
        <v>0</v>
      </c>
      <c r="AJ61" s="10">
        <v>0.15112707367899145</v>
      </c>
      <c r="AK61" s="10">
        <v>0</v>
      </c>
      <c r="AL61" s="10">
        <v>1.0801130727233288E-2</v>
      </c>
      <c r="AM61" s="10">
        <v>0</v>
      </c>
      <c r="AN61" s="10">
        <v>0</v>
      </c>
      <c r="AO61" s="10">
        <v>0</v>
      </c>
      <c r="AP61" s="10">
        <v>6.9612642904663654E-3</v>
      </c>
      <c r="AQ61" s="10">
        <v>0</v>
      </c>
      <c r="AR61" s="10">
        <v>7.9050672693947305E-3</v>
      </c>
      <c r="AS61" s="10">
        <v>8.5581161891477571E-4</v>
      </c>
      <c r="AT61" s="10">
        <v>0</v>
      </c>
      <c r="AU61" s="10">
        <v>5.6611728177090648E-2</v>
      </c>
      <c r="AV61" s="10">
        <v>2.5479237290891403E-4</v>
      </c>
      <c r="AW61" s="10">
        <v>0.76548313186499994</v>
      </c>
      <c r="AX61" s="10">
        <v>1</v>
      </c>
      <c r="AY61" s="10">
        <f t="shared" si="8"/>
        <v>0.76548313186499994</v>
      </c>
      <c r="AZ61" s="10">
        <f t="shared" si="9"/>
        <v>0.23451686813500006</v>
      </c>
      <c r="BA61" s="10"/>
      <c r="BC61">
        <v>9480</v>
      </c>
      <c r="BD61">
        <v>1009698</v>
      </c>
      <c r="BE61" s="10">
        <v>0</v>
      </c>
      <c r="BF61" s="10">
        <v>0.13680858397799758</v>
      </c>
      <c r="BG61" s="10">
        <v>0</v>
      </c>
      <c r="BH61" s="10">
        <v>7.2826240400812123E-3</v>
      </c>
      <c r="BI61" s="10">
        <v>0</v>
      </c>
      <c r="BJ61" s="10">
        <v>0</v>
      </c>
      <c r="BK61" s="10">
        <v>0</v>
      </c>
      <c r="BL61" s="10">
        <v>6.1505960649498662E-3</v>
      </c>
      <c r="BM61" s="10">
        <v>0</v>
      </c>
      <c r="BN61" s="10">
        <v>2.098785221889343E-3</v>
      </c>
      <c r="BO61" s="10">
        <v>8.5581161891477571E-4</v>
      </c>
      <c r="BP61" s="10">
        <v>0</v>
      </c>
      <c r="BQ61" s="10">
        <v>5.5952175548119223E-2</v>
      </c>
      <c r="BR61" s="10">
        <v>2.5479237290891403E-4</v>
      </c>
      <c r="BS61" s="10">
        <v>0.79059663115513912</v>
      </c>
      <c r="BT61" s="10">
        <v>1</v>
      </c>
      <c r="BU61" s="10">
        <f t="shared" si="10"/>
        <v>0.79059663115513912</v>
      </c>
      <c r="BV61" s="10">
        <f t="shared" si="11"/>
        <v>0.20940336884486088</v>
      </c>
      <c r="BW61" s="11">
        <f t="shared" si="6"/>
        <v>2.5113499290139174E-2</v>
      </c>
    </row>
    <row r="62" spans="1:77" x14ac:dyDescent="0.25">
      <c r="A62">
        <v>1010490</v>
      </c>
      <c r="B62">
        <v>10696</v>
      </c>
      <c r="C62" t="s">
        <v>46</v>
      </c>
      <c r="D62" t="str">
        <f t="shared" si="0"/>
        <v>WATER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25</v>
      </c>
      <c r="Z62" t="str">
        <f t="shared" si="1"/>
        <v>Lake</v>
      </c>
      <c r="AA62">
        <v>43</v>
      </c>
      <c r="AB62">
        <v>1010666.12703</v>
      </c>
      <c r="AC62">
        <v>2634.8727450000001</v>
      </c>
      <c r="AD62">
        <v>174969.804405</v>
      </c>
      <c r="AE62">
        <v>0.17496999999999999</v>
      </c>
      <c r="AG62">
        <v>9526</v>
      </c>
      <c r="AH62">
        <v>1009728</v>
      </c>
      <c r="AI62" s="10">
        <v>0</v>
      </c>
      <c r="AJ62" s="10">
        <v>0.39887091555114335</v>
      </c>
      <c r="AK62" s="10">
        <v>0</v>
      </c>
      <c r="AL62" s="10">
        <v>2.7488839531150354E-3</v>
      </c>
      <c r="AM62" s="10">
        <v>0</v>
      </c>
      <c r="AN62" s="10">
        <v>3.3520676319699909E-3</v>
      </c>
      <c r="AO62" s="10">
        <v>0</v>
      </c>
      <c r="AP62" s="10">
        <v>0</v>
      </c>
      <c r="AQ62" s="10">
        <v>0</v>
      </c>
      <c r="AR62" s="10">
        <v>0.56619783796350109</v>
      </c>
      <c r="AS62" s="10">
        <v>0</v>
      </c>
      <c r="AT62" s="10">
        <v>4.7437883076613752E-3</v>
      </c>
      <c r="AU62" s="10">
        <v>0</v>
      </c>
      <c r="AV62" s="10">
        <v>0</v>
      </c>
      <c r="AW62" s="10">
        <v>2.4086506592609115E-2</v>
      </c>
      <c r="AX62" s="10">
        <v>1</v>
      </c>
      <c r="AY62" s="10">
        <f t="shared" si="8"/>
        <v>2.4086506592609115E-2</v>
      </c>
      <c r="AZ62" s="10">
        <f t="shared" si="9"/>
        <v>0.97591349340739086</v>
      </c>
      <c r="BA62" s="10"/>
      <c r="BC62">
        <v>9526</v>
      </c>
      <c r="BD62">
        <v>1009728</v>
      </c>
      <c r="BE62" s="10">
        <v>0</v>
      </c>
      <c r="BF62" s="10">
        <v>0.38917599454621421</v>
      </c>
      <c r="BG62" s="10">
        <v>0</v>
      </c>
      <c r="BH62" s="10">
        <v>2.7488839531150354E-3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0.5588999437656883</v>
      </c>
      <c r="BO62" s="10">
        <v>0</v>
      </c>
      <c r="BP62" s="10">
        <v>0</v>
      </c>
      <c r="BQ62" s="10">
        <v>0</v>
      </c>
      <c r="BR62" s="10">
        <v>0</v>
      </c>
      <c r="BS62" s="10">
        <v>4.917517773498245E-2</v>
      </c>
      <c r="BT62" s="10">
        <v>1</v>
      </c>
      <c r="BU62" s="10">
        <f t="shared" si="10"/>
        <v>4.917517773498245E-2</v>
      </c>
      <c r="BV62" s="10">
        <f t="shared" si="11"/>
        <v>0.95082482226501752</v>
      </c>
      <c r="BW62" s="11">
        <f t="shared" si="6"/>
        <v>2.5088671142373335E-2</v>
      </c>
    </row>
    <row r="63" spans="1:77" x14ac:dyDescent="0.25">
      <c r="A63">
        <v>1010665</v>
      </c>
      <c r="B63">
        <v>10695</v>
      </c>
      <c r="C63" t="s">
        <v>42</v>
      </c>
      <c r="D63" t="str">
        <f t="shared" si="0"/>
        <v>PLANT_FOR</v>
      </c>
      <c r="E63">
        <v>0</v>
      </c>
      <c r="F63">
        <v>0</v>
      </c>
      <c r="G63">
        <v>100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f t="shared" si="1"/>
        <v>NotLake</v>
      </c>
      <c r="AA63">
        <v>47</v>
      </c>
      <c r="AB63">
        <v>362365.16101899999</v>
      </c>
      <c r="AC63">
        <v>757.01420800000005</v>
      </c>
      <c r="AD63">
        <v>21689.95652</v>
      </c>
      <c r="AE63">
        <v>2.1690000000000001E-2</v>
      </c>
      <c r="AG63">
        <v>9527</v>
      </c>
      <c r="AH63">
        <v>1009665</v>
      </c>
      <c r="AI63" s="10">
        <v>0</v>
      </c>
      <c r="AJ63" s="10">
        <v>0.81195005028421996</v>
      </c>
      <c r="AK63" s="10">
        <v>0</v>
      </c>
      <c r="AL63" s="10">
        <v>0</v>
      </c>
      <c r="AM63" s="10">
        <v>0</v>
      </c>
      <c r="AN63" s="10">
        <v>4.4093721966275914E-4</v>
      </c>
      <c r="AO63" s="10">
        <v>0</v>
      </c>
      <c r="AP63" s="10">
        <v>8.96514423860134E-2</v>
      </c>
      <c r="AQ63" s="10">
        <v>0</v>
      </c>
      <c r="AR63" s="10">
        <v>9.9916808396487294E-5</v>
      </c>
      <c r="AS63" s="10">
        <v>0</v>
      </c>
      <c r="AT63" s="10">
        <v>4.9762914790511389E-3</v>
      </c>
      <c r="AU63" s="10">
        <v>0</v>
      </c>
      <c r="AV63" s="10">
        <v>0</v>
      </c>
      <c r="AW63" s="10">
        <v>9.2881361822656369E-2</v>
      </c>
      <c r="AX63" s="10">
        <v>1</v>
      </c>
      <c r="AY63" s="10">
        <f t="shared" si="8"/>
        <v>9.2881361822656369E-2</v>
      </c>
      <c r="AZ63" s="10">
        <f t="shared" si="9"/>
        <v>0.90711863817734362</v>
      </c>
      <c r="BA63" s="10"/>
      <c r="BC63">
        <v>9527</v>
      </c>
      <c r="BD63">
        <v>1009665</v>
      </c>
      <c r="BE63" s="10">
        <v>0</v>
      </c>
      <c r="BF63" s="10">
        <v>0.79439510146986314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4.3061972314355663E-2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0.1625429262157812</v>
      </c>
      <c r="BT63" s="10">
        <v>1</v>
      </c>
      <c r="BU63" s="10">
        <f t="shared" si="10"/>
        <v>0.1625429262157812</v>
      </c>
      <c r="BV63" s="10">
        <f t="shared" si="11"/>
        <v>0.83745707378421885</v>
      </c>
      <c r="BW63" s="11">
        <f t="shared" si="6"/>
        <v>6.9661564393124834E-2</v>
      </c>
    </row>
    <row r="64" spans="1:77" x14ac:dyDescent="0.25">
      <c r="A64">
        <v>1010847</v>
      </c>
      <c r="B64">
        <v>10694</v>
      </c>
      <c r="C64" t="s">
        <v>42</v>
      </c>
      <c r="D64" t="str">
        <f t="shared" si="0"/>
        <v>PLANT_FOR</v>
      </c>
      <c r="E64">
        <v>0</v>
      </c>
      <c r="F64">
        <v>0</v>
      </c>
      <c r="G64">
        <v>100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f t="shared" si="1"/>
        <v>NotLake</v>
      </c>
      <c r="AA64">
        <v>48</v>
      </c>
      <c r="AB64">
        <v>499037.49365199998</v>
      </c>
      <c r="AC64">
        <v>1743.052909</v>
      </c>
      <c r="AD64">
        <v>119616.41700099999</v>
      </c>
      <c r="AE64">
        <v>0.119616</v>
      </c>
      <c r="AG64">
        <v>9528</v>
      </c>
      <c r="AH64">
        <v>1009752</v>
      </c>
      <c r="AI64" s="10">
        <v>0</v>
      </c>
      <c r="AJ64" s="10">
        <v>0</v>
      </c>
      <c r="AK64" s="10">
        <v>0</v>
      </c>
      <c r="AL64" s="10">
        <v>1.8298840583415361E-2</v>
      </c>
      <c r="AM64" s="10">
        <v>0</v>
      </c>
      <c r="AN64" s="10">
        <v>1.418911145483133E-3</v>
      </c>
      <c r="AO64" s="10">
        <v>0</v>
      </c>
      <c r="AP64" s="10">
        <v>0</v>
      </c>
      <c r="AQ64" s="10">
        <v>0</v>
      </c>
      <c r="AR64" s="10">
        <v>6.5058993467895551E-2</v>
      </c>
      <c r="AS64" s="10">
        <v>0</v>
      </c>
      <c r="AT64" s="10">
        <v>0</v>
      </c>
      <c r="AU64" s="10">
        <v>0</v>
      </c>
      <c r="AV64" s="10">
        <v>0</v>
      </c>
      <c r="AW64" s="10">
        <v>0.91522325480320599</v>
      </c>
      <c r="AX64" s="10">
        <v>1</v>
      </c>
      <c r="AY64" s="10">
        <f t="shared" si="8"/>
        <v>0.91522325480320599</v>
      </c>
      <c r="AZ64" s="10">
        <f t="shared" si="9"/>
        <v>8.4776745196794012E-2</v>
      </c>
      <c r="BA64" s="10"/>
      <c r="BC64">
        <v>9528</v>
      </c>
      <c r="BD64">
        <v>1009752</v>
      </c>
      <c r="BE64" s="10">
        <v>0</v>
      </c>
      <c r="BF64" s="10">
        <v>0</v>
      </c>
      <c r="BG64" s="10">
        <v>0</v>
      </c>
      <c r="BH64" s="10">
        <v>9.5616715028953442E-3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4.2311674698641166E-2</v>
      </c>
      <c r="BO64" s="10">
        <v>0</v>
      </c>
      <c r="BP64" s="10">
        <v>0</v>
      </c>
      <c r="BQ64" s="10">
        <v>0</v>
      </c>
      <c r="BR64" s="10">
        <v>0</v>
      </c>
      <c r="BS64" s="10">
        <v>0.94812665379846339</v>
      </c>
      <c r="BT64" s="10">
        <v>1</v>
      </c>
      <c r="BU64" s="10">
        <f t="shared" si="10"/>
        <v>0.94812665379846339</v>
      </c>
      <c r="BV64" s="10">
        <f t="shared" si="11"/>
        <v>5.1873346201536608E-2</v>
      </c>
      <c r="BW64" s="11">
        <f t="shared" si="6"/>
        <v>3.2903398995257405E-2</v>
      </c>
    </row>
    <row r="65" spans="1:75" x14ac:dyDescent="0.25">
      <c r="A65">
        <v>1010848</v>
      </c>
      <c r="B65">
        <v>10614</v>
      </c>
      <c r="C65" t="s">
        <v>42</v>
      </c>
      <c r="D65" t="str">
        <f t="shared" si="0"/>
        <v>PLANT_FOR</v>
      </c>
      <c r="E65">
        <v>0</v>
      </c>
      <c r="F65">
        <v>0</v>
      </c>
      <c r="G65">
        <v>100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f t="shared" si="1"/>
        <v>NotLake</v>
      </c>
      <c r="AA65">
        <v>49</v>
      </c>
      <c r="AB65">
        <v>520619.811216</v>
      </c>
      <c r="AC65">
        <v>2536.8458970000002</v>
      </c>
      <c r="AD65">
        <v>265853.83358400001</v>
      </c>
      <c r="AE65">
        <v>0.26585399999999998</v>
      </c>
      <c r="AG65">
        <v>9610</v>
      </c>
      <c r="AH65">
        <v>1009710</v>
      </c>
      <c r="AI65" s="10">
        <v>0</v>
      </c>
      <c r="AJ65" s="10">
        <v>0.55041348498716669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4.7526770912675299E-2</v>
      </c>
      <c r="AQ65" s="10">
        <v>0</v>
      </c>
      <c r="AR65" s="10">
        <v>0.25242906428219392</v>
      </c>
      <c r="AS65" s="10">
        <v>0</v>
      </c>
      <c r="AT65" s="10">
        <v>0</v>
      </c>
      <c r="AU65" s="10">
        <v>0</v>
      </c>
      <c r="AV65" s="10">
        <v>0</v>
      </c>
      <c r="AW65" s="10">
        <v>0.14963067981796421</v>
      </c>
      <c r="AX65" s="10">
        <v>1</v>
      </c>
      <c r="AY65" s="10">
        <f t="shared" si="8"/>
        <v>0.14963067981796421</v>
      </c>
      <c r="AZ65" s="10">
        <f t="shared" si="9"/>
        <v>0.85036932018203581</v>
      </c>
      <c r="BA65" s="10"/>
      <c r="BC65">
        <v>9610</v>
      </c>
      <c r="BD65">
        <v>1009710</v>
      </c>
      <c r="BE65" s="10">
        <v>0</v>
      </c>
      <c r="BF65" s="10">
        <v>0.53861700152976644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1.1814085372488526E-2</v>
      </c>
      <c r="BM65" s="10">
        <v>0</v>
      </c>
      <c r="BN65" s="10">
        <v>0.25242906428219392</v>
      </c>
      <c r="BO65" s="10">
        <v>0</v>
      </c>
      <c r="BP65" s="10">
        <v>0</v>
      </c>
      <c r="BQ65" s="10">
        <v>0</v>
      </c>
      <c r="BR65" s="10">
        <v>0</v>
      </c>
      <c r="BS65" s="10">
        <v>0.19713984881555113</v>
      </c>
      <c r="BT65" s="10">
        <v>1</v>
      </c>
      <c r="BU65" s="10">
        <f t="shared" si="10"/>
        <v>0.19713984881555113</v>
      </c>
      <c r="BV65" s="10">
        <f t="shared" si="11"/>
        <v>0.80286015118444887</v>
      </c>
      <c r="BW65" s="11">
        <f t="shared" si="6"/>
        <v>4.750916899758692E-2</v>
      </c>
    </row>
    <row r="66" spans="1:75" x14ac:dyDescent="0.25">
      <c r="A66">
        <v>1010847</v>
      </c>
      <c r="B66">
        <v>10694</v>
      </c>
      <c r="C66" t="s">
        <v>43</v>
      </c>
      <c r="D66" t="str">
        <f t="shared" si="0"/>
        <v>NAT_FOR</v>
      </c>
      <c r="E66">
        <v>100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f t="shared" si="1"/>
        <v>NotLake</v>
      </c>
      <c r="AA66">
        <v>48</v>
      </c>
      <c r="AB66">
        <v>499037.49365199998</v>
      </c>
      <c r="AC66">
        <v>1067.019677</v>
      </c>
      <c r="AD66">
        <v>15677.655939</v>
      </c>
      <c r="AE66">
        <v>1.5678000000000001E-2</v>
      </c>
      <c r="AG66">
        <v>9675</v>
      </c>
      <c r="AH66">
        <v>1009808</v>
      </c>
      <c r="AI66" s="10">
        <v>0</v>
      </c>
      <c r="AJ66" s="10">
        <v>3.3793747542272902E-5</v>
      </c>
      <c r="AK66" s="10">
        <v>0</v>
      </c>
      <c r="AL66" s="10">
        <v>6.4659727683837986E-2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0.48009548269760122</v>
      </c>
      <c r="AS66" s="10">
        <v>0</v>
      </c>
      <c r="AT66" s="10">
        <v>0</v>
      </c>
      <c r="AU66" s="10">
        <v>0</v>
      </c>
      <c r="AV66" s="10">
        <v>0</v>
      </c>
      <c r="AW66" s="10">
        <v>0.45521099587101843</v>
      </c>
      <c r="AX66" s="10">
        <v>1</v>
      </c>
      <c r="AY66" s="10">
        <f t="shared" si="8"/>
        <v>0.45521099587101843</v>
      </c>
      <c r="AZ66" s="10">
        <f t="shared" si="9"/>
        <v>0.54478900412898157</v>
      </c>
      <c r="BA66" s="10"/>
      <c r="BC66">
        <v>9675</v>
      </c>
      <c r="BD66">
        <v>1009808</v>
      </c>
      <c r="BE66" s="10">
        <v>0</v>
      </c>
      <c r="BF66" s="10">
        <v>3.3793747542272902E-5</v>
      </c>
      <c r="BG66" s="10">
        <v>0</v>
      </c>
      <c r="BH66" s="10">
        <v>5.3477069406213128E-2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0.43838170959496658</v>
      </c>
      <c r="BO66" s="10">
        <v>0</v>
      </c>
      <c r="BP66" s="10">
        <v>0</v>
      </c>
      <c r="BQ66" s="10">
        <v>0</v>
      </c>
      <c r="BR66" s="10">
        <v>0</v>
      </c>
      <c r="BS66" s="10">
        <v>0.508107427251278</v>
      </c>
      <c r="BT66" s="10">
        <v>1</v>
      </c>
      <c r="BU66" s="10">
        <f t="shared" si="10"/>
        <v>0.508107427251278</v>
      </c>
      <c r="BV66" s="10">
        <f t="shared" si="11"/>
        <v>0.491892572748722</v>
      </c>
      <c r="BW66" s="11">
        <f t="shared" si="6"/>
        <v>5.2896431380259568E-2</v>
      </c>
    </row>
    <row r="67" spans="1:75" x14ac:dyDescent="0.25">
      <c r="A67">
        <v>1010848</v>
      </c>
      <c r="B67">
        <v>10614</v>
      </c>
      <c r="C67" t="s">
        <v>43</v>
      </c>
      <c r="D67" t="str">
        <f t="shared" ref="D67:D130" si="12">IF(Y67=0,C67,"WATER")</f>
        <v>NAT_FOR</v>
      </c>
      <c r="E67">
        <v>100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tr">
        <f t="shared" ref="Z67:Z130" si="13">IF(Y67=0,"NotLake","Lake")</f>
        <v>NotLake</v>
      </c>
      <c r="AA67">
        <v>49</v>
      </c>
      <c r="AB67">
        <v>520619.811216</v>
      </c>
      <c r="AC67">
        <v>303.97230500000001</v>
      </c>
      <c r="AD67">
        <v>2365.550909</v>
      </c>
      <c r="AE67">
        <v>2.366E-3</v>
      </c>
      <c r="AG67">
        <v>9676</v>
      </c>
      <c r="AH67">
        <v>1009804</v>
      </c>
      <c r="AI67" s="10">
        <v>0</v>
      </c>
      <c r="AJ67" s="10">
        <v>1.1732346299471959E-2</v>
      </c>
      <c r="AK67" s="10">
        <v>0</v>
      </c>
      <c r="AL67" s="10">
        <v>1.0352819328658506E-2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0.10486527327368117</v>
      </c>
      <c r="AS67" s="10">
        <v>0</v>
      </c>
      <c r="AT67" s="10">
        <v>0</v>
      </c>
      <c r="AU67" s="10">
        <v>0</v>
      </c>
      <c r="AV67" s="10">
        <v>0</v>
      </c>
      <c r="AW67" s="10">
        <v>0.87304956109818843</v>
      </c>
      <c r="AX67" s="10">
        <v>1</v>
      </c>
      <c r="AY67" s="10">
        <f t="shared" si="8"/>
        <v>0.87304956109818843</v>
      </c>
      <c r="AZ67" s="10">
        <f t="shared" si="9"/>
        <v>0.12695043890181157</v>
      </c>
      <c r="BA67" s="10"/>
      <c r="BC67">
        <v>9676</v>
      </c>
      <c r="BD67">
        <v>1009804</v>
      </c>
      <c r="BE67" s="10">
        <v>0</v>
      </c>
      <c r="BF67" s="10">
        <v>1.0819736149549211E-2</v>
      </c>
      <c r="BG67" s="10">
        <v>0</v>
      </c>
      <c r="BH67" s="10">
        <v>1.0157563203558755E-2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0.10486527327368117</v>
      </c>
      <c r="BO67" s="10">
        <v>0</v>
      </c>
      <c r="BP67" s="10">
        <v>0</v>
      </c>
      <c r="BQ67" s="10">
        <v>0</v>
      </c>
      <c r="BR67" s="10">
        <v>0</v>
      </c>
      <c r="BS67" s="10">
        <v>0.87415742737321089</v>
      </c>
      <c r="BT67" s="10">
        <v>1</v>
      </c>
      <c r="BU67" s="10">
        <f t="shared" si="10"/>
        <v>0.87415742737321089</v>
      </c>
      <c r="BV67" s="10">
        <f t="shared" si="11"/>
        <v>0.12584257262678911</v>
      </c>
      <c r="BW67" s="11">
        <f t="shared" si="6"/>
        <v>1.1078662750224622E-3</v>
      </c>
    </row>
    <row r="68" spans="1:75" x14ac:dyDescent="0.25">
      <c r="A68">
        <v>1009647</v>
      </c>
      <c r="B68">
        <v>9454</v>
      </c>
      <c r="C68" t="s">
        <v>46</v>
      </c>
      <c r="D68" t="str">
        <f t="shared" si="12"/>
        <v>WATER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tr">
        <f t="shared" si="13"/>
        <v>NotLake</v>
      </c>
      <c r="AA68">
        <v>0</v>
      </c>
      <c r="AB68">
        <v>417217.74838200002</v>
      </c>
      <c r="AC68">
        <v>2869.9406439999998</v>
      </c>
      <c r="AD68">
        <v>150202.97034199999</v>
      </c>
      <c r="AE68">
        <v>0.150203</v>
      </c>
      <c r="AG68">
        <v>9677</v>
      </c>
      <c r="AH68">
        <v>1009832</v>
      </c>
      <c r="AI68" s="10">
        <v>0</v>
      </c>
      <c r="AJ68" s="10">
        <v>0</v>
      </c>
      <c r="AK68" s="10">
        <v>0</v>
      </c>
      <c r="AL68" s="10">
        <v>2.2922946646237945E-2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1.8693446455786768E-2</v>
      </c>
      <c r="AS68" s="10">
        <v>0</v>
      </c>
      <c r="AT68" s="10">
        <v>0</v>
      </c>
      <c r="AU68" s="10">
        <v>3.2032673957026834E-3</v>
      </c>
      <c r="AV68" s="10">
        <v>0</v>
      </c>
      <c r="AW68" s="10">
        <v>0.95518033950227255</v>
      </c>
      <c r="AX68" s="10">
        <v>1</v>
      </c>
      <c r="AY68" s="10">
        <f t="shared" si="8"/>
        <v>0.95518033950227255</v>
      </c>
      <c r="AZ68" s="10">
        <f t="shared" si="9"/>
        <v>4.4819660497727454E-2</v>
      </c>
      <c r="BA68" s="10"/>
      <c r="BC68">
        <v>9677</v>
      </c>
      <c r="BD68">
        <v>1009832</v>
      </c>
      <c r="BE68" s="10">
        <v>0</v>
      </c>
      <c r="BF68" s="10">
        <v>0</v>
      </c>
      <c r="BG68" s="10">
        <v>0</v>
      </c>
      <c r="BH68" s="10">
        <v>2.0513862912027742E-2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1.8693446455786768E-2</v>
      </c>
      <c r="BO68" s="10">
        <v>0</v>
      </c>
      <c r="BP68" s="10">
        <v>0</v>
      </c>
      <c r="BQ68" s="10">
        <v>3.2032673957026834E-3</v>
      </c>
      <c r="BR68" s="10">
        <v>0</v>
      </c>
      <c r="BS68" s="10">
        <v>0.95758942323648277</v>
      </c>
      <c r="BT68" s="10">
        <v>1</v>
      </c>
      <c r="BU68" s="10">
        <f t="shared" si="10"/>
        <v>0.95758942323648277</v>
      </c>
      <c r="BV68" s="10">
        <f t="shared" si="11"/>
        <v>4.2410576763517227E-2</v>
      </c>
      <c r="BW68" s="11">
        <f t="shared" si="6"/>
        <v>2.4090837342102267E-3</v>
      </c>
    </row>
    <row r="69" spans="1:75" x14ac:dyDescent="0.25">
      <c r="A69">
        <v>1009647</v>
      </c>
      <c r="B69">
        <v>9454</v>
      </c>
      <c r="C69" t="s">
        <v>46</v>
      </c>
      <c r="D69" t="str">
        <f t="shared" si="12"/>
        <v>WATER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100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25</v>
      </c>
      <c r="Z69" t="str">
        <f t="shared" si="13"/>
        <v>Lake</v>
      </c>
      <c r="AA69">
        <v>0</v>
      </c>
      <c r="AB69">
        <v>417217.74838200002</v>
      </c>
      <c r="AC69">
        <v>1773.9916840000001</v>
      </c>
      <c r="AD69">
        <v>56328.482561999997</v>
      </c>
      <c r="AE69">
        <v>5.6328000000000003E-2</v>
      </c>
      <c r="AG69">
        <v>9905</v>
      </c>
      <c r="AH69">
        <v>1009885</v>
      </c>
      <c r="AI69" s="10">
        <v>0</v>
      </c>
      <c r="AJ69" s="10">
        <v>0</v>
      </c>
      <c r="AK69" s="10">
        <v>0</v>
      </c>
      <c r="AL69" s="10">
        <v>7.6140495187957555E-2</v>
      </c>
      <c r="AM69" s="10">
        <v>0</v>
      </c>
      <c r="AN69" s="10">
        <v>0</v>
      </c>
      <c r="AO69" s="10">
        <v>0</v>
      </c>
      <c r="AP69" s="10">
        <v>0</v>
      </c>
      <c r="AQ69" s="10">
        <v>1.8119601875462694E-2</v>
      </c>
      <c r="AR69" s="10">
        <v>0.77930081434564447</v>
      </c>
      <c r="AS69" s="10">
        <v>0</v>
      </c>
      <c r="AT69" s="10">
        <v>0</v>
      </c>
      <c r="AU69" s="10">
        <v>0</v>
      </c>
      <c r="AV69" s="10">
        <v>0</v>
      </c>
      <c r="AW69" s="10">
        <v>0.12643908859093528</v>
      </c>
      <c r="AX69" s="10">
        <v>1</v>
      </c>
      <c r="AY69" s="10">
        <f t="shared" si="8"/>
        <v>0.12643908859093528</v>
      </c>
      <c r="AZ69" s="10">
        <f t="shared" si="9"/>
        <v>0.87356091140906478</v>
      </c>
      <c r="BA69" s="10"/>
      <c r="BC69">
        <v>9905</v>
      </c>
      <c r="BD69">
        <v>1009885</v>
      </c>
      <c r="BE69" s="10">
        <v>0</v>
      </c>
      <c r="BF69" s="10">
        <v>0</v>
      </c>
      <c r="BG69" s="10">
        <v>0</v>
      </c>
      <c r="BH69" s="10">
        <v>7.1530805297359529E-2</v>
      </c>
      <c r="BI69" s="10">
        <v>0</v>
      </c>
      <c r="BJ69" s="10">
        <v>0</v>
      </c>
      <c r="BK69" s="10">
        <v>0</v>
      </c>
      <c r="BL69" s="10">
        <v>0</v>
      </c>
      <c r="BM69" s="10">
        <v>1.8119601875462691E-2</v>
      </c>
      <c r="BN69" s="10">
        <v>0.7772608373776424</v>
      </c>
      <c r="BO69" s="10">
        <v>0</v>
      </c>
      <c r="BP69" s="10">
        <v>0</v>
      </c>
      <c r="BQ69" s="10">
        <v>0</v>
      </c>
      <c r="BR69" s="10">
        <v>0</v>
      </c>
      <c r="BS69" s="10">
        <v>0.13308875544953522</v>
      </c>
      <c r="BT69" s="10">
        <v>1</v>
      </c>
      <c r="BU69" s="10">
        <f t="shared" si="10"/>
        <v>0.13308875544953522</v>
      </c>
      <c r="BV69" s="10">
        <f t="shared" si="11"/>
        <v>0.86691124455046475</v>
      </c>
      <c r="BW69" s="11">
        <f t="shared" si="6"/>
        <v>6.6496668585999397E-3</v>
      </c>
    </row>
    <row r="70" spans="1:75" x14ac:dyDescent="0.25">
      <c r="A70">
        <v>1009698</v>
      </c>
      <c r="B70">
        <v>9480</v>
      </c>
      <c r="C70" t="s">
        <v>46</v>
      </c>
      <c r="D70" t="str">
        <f t="shared" si="12"/>
        <v>WATER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f t="shared" si="13"/>
        <v>NotLake</v>
      </c>
      <c r="AA70">
        <v>2</v>
      </c>
      <c r="AB70">
        <v>2613890.82766</v>
      </c>
      <c r="AC70">
        <v>1642.127917</v>
      </c>
      <c r="AD70">
        <v>15210.816983000001</v>
      </c>
      <c r="AE70">
        <v>1.5211000000000001E-2</v>
      </c>
      <c r="AG70">
        <v>9923</v>
      </c>
      <c r="AH70">
        <v>1010106</v>
      </c>
      <c r="AI70" s="10">
        <v>0</v>
      </c>
      <c r="AJ70" s="10">
        <v>0.68484188861770057</v>
      </c>
      <c r="AK70" s="10">
        <v>0</v>
      </c>
      <c r="AL70" s="10">
        <v>8.29183953689068E-3</v>
      </c>
      <c r="AM70" s="10">
        <v>0</v>
      </c>
      <c r="AN70" s="10">
        <v>0</v>
      </c>
      <c r="AO70" s="10">
        <v>0</v>
      </c>
      <c r="AP70" s="10">
        <v>5.3232660832327498E-3</v>
      </c>
      <c r="AQ70" s="10">
        <v>0</v>
      </c>
      <c r="AR70" s="10">
        <v>0.30154300576217608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1</v>
      </c>
      <c r="AY70" s="10">
        <f t="shared" si="8"/>
        <v>0</v>
      </c>
      <c r="AZ70" s="10">
        <f t="shared" si="9"/>
        <v>1</v>
      </c>
      <c r="BA70" s="10"/>
      <c r="BC70">
        <v>9923</v>
      </c>
      <c r="BD70">
        <v>1010106</v>
      </c>
      <c r="BE70" s="10">
        <v>0</v>
      </c>
      <c r="BF70" s="10">
        <v>0.68484188861770057</v>
      </c>
      <c r="BG70" s="10">
        <v>0</v>
      </c>
      <c r="BH70" s="10">
        <v>8.29183953689068E-3</v>
      </c>
      <c r="BI70" s="10">
        <v>0</v>
      </c>
      <c r="BJ70" s="10">
        <v>0</v>
      </c>
      <c r="BK70" s="10">
        <v>0</v>
      </c>
      <c r="BL70" s="10">
        <v>5.3232660832327498E-3</v>
      </c>
      <c r="BM70" s="10">
        <v>0</v>
      </c>
      <c r="BN70" s="10">
        <v>0.30154300576217608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1</v>
      </c>
      <c r="BU70" s="10">
        <f t="shared" si="10"/>
        <v>0</v>
      </c>
      <c r="BV70" s="10">
        <f t="shared" si="11"/>
        <v>1</v>
      </c>
      <c r="BW70" s="11">
        <f t="shared" ref="BW70:BW109" si="14">BU70-AY70</f>
        <v>0</v>
      </c>
    </row>
    <row r="71" spans="1:75" x14ac:dyDescent="0.25">
      <c r="A71">
        <v>1009698</v>
      </c>
      <c r="B71">
        <v>9480</v>
      </c>
      <c r="C71" t="s">
        <v>46</v>
      </c>
      <c r="D71" t="str">
        <f t="shared" si="12"/>
        <v>WATER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25</v>
      </c>
      <c r="Z71" t="str">
        <f t="shared" si="13"/>
        <v>Lake</v>
      </c>
      <c r="AA71">
        <v>2</v>
      </c>
      <c r="AB71">
        <v>2613890.82766</v>
      </c>
      <c r="AC71">
        <v>3711.5545750000001</v>
      </c>
      <c r="AD71">
        <v>327950.67209000001</v>
      </c>
      <c r="AE71">
        <v>0.32795099999999999</v>
      </c>
      <c r="AG71">
        <v>9960</v>
      </c>
      <c r="AH71">
        <v>1010140</v>
      </c>
      <c r="AI71" s="10">
        <v>1.0358067684614699E-2</v>
      </c>
      <c r="AJ71" s="10">
        <v>0.85293600348515963</v>
      </c>
      <c r="AK71" s="10">
        <v>0</v>
      </c>
      <c r="AL71" s="10">
        <v>0</v>
      </c>
      <c r="AM71" s="10">
        <v>0</v>
      </c>
      <c r="AN71" s="10">
        <v>0</v>
      </c>
      <c r="AO71" s="10">
        <v>4.6527422632432015E-2</v>
      </c>
      <c r="AP71" s="10">
        <v>6.5996152253853845E-3</v>
      </c>
      <c r="AQ71" s="10">
        <v>0</v>
      </c>
      <c r="AR71" s="10">
        <v>8.3578890972408254E-2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1</v>
      </c>
      <c r="AY71" s="10">
        <f t="shared" si="8"/>
        <v>0</v>
      </c>
      <c r="AZ71" s="10">
        <f t="shared" si="9"/>
        <v>1</v>
      </c>
      <c r="BA71" s="10"/>
      <c r="BC71">
        <v>9960</v>
      </c>
      <c r="BD71">
        <v>1010140</v>
      </c>
      <c r="BE71" s="10">
        <v>1.0358067684614699E-2</v>
      </c>
      <c r="BF71" s="10">
        <v>0.85293600348515963</v>
      </c>
      <c r="BG71" s="10">
        <v>0</v>
      </c>
      <c r="BH71" s="10">
        <v>0</v>
      </c>
      <c r="BI71" s="10">
        <v>0</v>
      </c>
      <c r="BJ71" s="10">
        <v>0</v>
      </c>
      <c r="BK71" s="10">
        <v>4.6527422632432015E-2</v>
      </c>
      <c r="BL71" s="10">
        <v>6.5996152253853845E-3</v>
      </c>
      <c r="BM71" s="10">
        <v>0</v>
      </c>
      <c r="BN71" s="10">
        <v>8.3578890972408254E-2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1</v>
      </c>
      <c r="BU71" s="10">
        <f t="shared" si="10"/>
        <v>0</v>
      </c>
      <c r="BV71" s="10">
        <f t="shared" si="11"/>
        <v>1</v>
      </c>
      <c r="BW71" s="11">
        <f t="shared" si="14"/>
        <v>0</v>
      </c>
    </row>
    <row r="72" spans="1:75" x14ac:dyDescent="0.25">
      <c r="A72">
        <v>1009699</v>
      </c>
      <c r="B72">
        <v>9479</v>
      </c>
      <c r="C72" t="s">
        <v>46</v>
      </c>
      <c r="D72" t="str">
        <f t="shared" si="12"/>
        <v>WATER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f t="shared" si="13"/>
        <v>NotLake</v>
      </c>
      <c r="AA72">
        <v>3</v>
      </c>
      <c r="AB72">
        <v>254467.18734500001</v>
      </c>
      <c r="AC72">
        <v>2675.9722310000002</v>
      </c>
      <c r="AD72">
        <v>75503.105553000001</v>
      </c>
      <c r="AE72">
        <v>7.5503000000000001E-2</v>
      </c>
      <c r="AG72">
        <v>9961</v>
      </c>
      <c r="AH72">
        <v>1010139</v>
      </c>
      <c r="AI72" s="10">
        <v>0</v>
      </c>
      <c r="AJ72" s="10">
        <v>0.35589360747456694</v>
      </c>
      <c r="AK72" s="10">
        <v>3.6749713400352941E-4</v>
      </c>
      <c r="AL72" s="10">
        <v>1.6869983002505719E-2</v>
      </c>
      <c r="AM72" s="10">
        <v>3.1157862574115933E-2</v>
      </c>
      <c r="AN72" s="10">
        <v>2.3517410703008182E-3</v>
      </c>
      <c r="AO72" s="10">
        <v>1.6833293435935807E-2</v>
      </c>
      <c r="AP72" s="10">
        <v>2.7409512100940815E-2</v>
      </c>
      <c r="AQ72" s="10">
        <v>0</v>
      </c>
      <c r="AR72" s="10">
        <v>0.2688166351697765</v>
      </c>
      <c r="AS72" s="10">
        <v>0</v>
      </c>
      <c r="AT72" s="10">
        <v>6.2811335031077858E-3</v>
      </c>
      <c r="AU72" s="10">
        <v>0</v>
      </c>
      <c r="AV72" s="10">
        <v>0</v>
      </c>
      <c r="AW72" s="10">
        <v>0.27401873453474618</v>
      </c>
      <c r="AX72" s="10">
        <v>1</v>
      </c>
      <c r="AY72" s="10">
        <f t="shared" si="8"/>
        <v>0.27401873453474618</v>
      </c>
      <c r="AZ72" s="10">
        <f t="shared" si="9"/>
        <v>0.72598126546525377</v>
      </c>
      <c r="BA72" s="10"/>
      <c r="BC72">
        <v>9961</v>
      </c>
      <c r="BD72">
        <v>1010139</v>
      </c>
      <c r="BE72" s="10">
        <v>0</v>
      </c>
      <c r="BF72" s="10">
        <v>0.23395914105514387</v>
      </c>
      <c r="BG72" s="10">
        <v>3.6749713400352951E-4</v>
      </c>
      <c r="BH72" s="10">
        <v>1.6869983002505723E-2</v>
      </c>
      <c r="BI72" s="10">
        <v>3.115786257411594E-2</v>
      </c>
      <c r="BJ72" s="10">
        <v>1.0850488211822705E-3</v>
      </c>
      <c r="BK72" s="10">
        <v>1.6833293435935811E-2</v>
      </c>
      <c r="BL72" s="10">
        <v>2.6101920007121391E-2</v>
      </c>
      <c r="BM72" s="10">
        <v>0</v>
      </c>
      <c r="BN72" s="10">
        <v>0.25984453247267236</v>
      </c>
      <c r="BO72" s="10">
        <v>0</v>
      </c>
      <c r="BP72" s="10">
        <v>6.2811335031077876E-3</v>
      </c>
      <c r="BQ72" s="10">
        <v>0</v>
      </c>
      <c r="BR72" s="10">
        <v>0</v>
      </c>
      <c r="BS72" s="10">
        <v>0.40749958799421143</v>
      </c>
      <c r="BT72" s="10">
        <v>1</v>
      </c>
      <c r="BU72" s="10">
        <f t="shared" si="10"/>
        <v>0.40749958799421143</v>
      </c>
      <c r="BV72" s="10">
        <f t="shared" si="11"/>
        <v>0.59250041200578862</v>
      </c>
      <c r="BW72" s="11">
        <f t="shared" si="14"/>
        <v>0.13348085345946525</v>
      </c>
    </row>
    <row r="73" spans="1:75" x14ac:dyDescent="0.25">
      <c r="A73">
        <v>1009699</v>
      </c>
      <c r="B73">
        <v>9479</v>
      </c>
      <c r="C73" t="s">
        <v>46</v>
      </c>
      <c r="D73" t="str">
        <f t="shared" si="12"/>
        <v>WATER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25</v>
      </c>
      <c r="Z73" t="str">
        <f t="shared" si="13"/>
        <v>Lake</v>
      </c>
      <c r="AA73">
        <v>3</v>
      </c>
      <c r="AB73">
        <v>254467.18734500001</v>
      </c>
      <c r="AC73">
        <v>626.19267500000001</v>
      </c>
      <c r="AD73">
        <v>20049.577358999999</v>
      </c>
      <c r="AE73">
        <v>2.0049999999999998E-2</v>
      </c>
      <c r="AG73">
        <v>9962</v>
      </c>
      <c r="AH73">
        <v>1010121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2.5032284517905991E-2</v>
      </c>
      <c r="AS73" s="10">
        <v>0</v>
      </c>
      <c r="AT73" s="10">
        <v>0</v>
      </c>
      <c r="AU73" s="10">
        <v>0</v>
      </c>
      <c r="AV73" s="10">
        <v>0</v>
      </c>
      <c r="AW73" s="10">
        <v>0.97496771548209393</v>
      </c>
      <c r="AX73" s="10">
        <v>1</v>
      </c>
      <c r="AY73" s="10">
        <f t="shared" si="8"/>
        <v>0.97496771548209393</v>
      </c>
      <c r="AZ73" s="10">
        <f t="shared" si="9"/>
        <v>2.5032284517906067E-2</v>
      </c>
      <c r="BA73" s="10"/>
      <c r="BC73">
        <v>9962</v>
      </c>
      <c r="BD73">
        <v>1010121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1.6756012492447198E-2</v>
      </c>
      <c r="BO73" s="10">
        <v>0</v>
      </c>
      <c r="BP73" s="10">
        <v>0</v>
      </c>
      <c r="BQ73" s="10">
        <v>0</v>
      </c>
      <c r="BR73" s="10">
        <v>0</v>
      </c>
      <c r="BS73" s="10">
        <v>0.98324398750755282</v>
      </c>
      <c r="BT73" s="10">
        <v>1</v>
      </c>
      <c r="BU73" s="10">
        <f t="shared" si="10"/>
        <v>0.98324398750755282</v>
      </c>
      <c r="BV73" s="10">
        <f t="shared" si="11"/>
        <v>1.6756012492447181E-2</v>
      </c>
      <c r="BW73" s="11">
        <f t="shared" si="14"/>
        <v>8.2762720254588862E-3</v>
      </c>
    </row>
    <row r="74" spans="1:75" x14ac:dyDescent="0.25">
      <c r="A74">
        <v>1009832</v>
      </c>
      <c r="B74">
        <v>9677</v>
      </c>
      <c r="C74" t="s">
        <v>46</v>
      </c>
      <c r="D74" t="str">
        <f t="shared" si="12"/>
        <v>WATER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tr">
        <f t="shared" si="13"/>
        <v>NotLake</v>
      </c>
      <c r="AA74">
        <v>9</v>
      </c>
      <c r="AB74">
        <v>2223666.1798299998</v>
      </c>
      <c r="AC74">
        <v>290.18982499999998</v>
      </c>
      <c r="AD74">
        <v>1894.396242</v>
      </c>
      <c r="AE74">
        <v>1.8940000000000001E-3</v>
      </c>
      <c r="AG74">
        <v>9963</v>
      </c>
      <c r="AH74">
        <v>1010120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1</v>
      </c>
      <c r="AX74" s="10">
        <v>1</v>
      </c>
      <c r="AY74" s="10">
        <f t="shared" si="8"/>
        <v>1</v>
      </c>
      <c r="AZ74" s="10">
        <f t="shared" si="9"/>
        <v>0</v>
      </c>
      <c r="BA74" s="10"/>
      <c r="BC74">
        <v>9963</v>
      </c>
      <c r="BD74">
        <v>1010120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1</v>
      </c>
      <c r="BT74" s="10">
        <v>1</v>
      </c>
      <c r="BU74" s="10">
        <f t="shared" si="10"/>
        <v>1</v>
      </c>
      <c r="BV74" s="10">
        <f t="shared" si="11"/>
        <v>0</v>
      </c>
      <c r="BW74" s="11">
        <f t="shared" si="14"/>
        <v>0</v>
      </c>
    </row>
    <row r="75" spans="1:75" x14ac:dyDescent="0.25">
      <c r="A75">
        <v>1009840</v>
      </c>
      <c r="B75">
        <v>10134</v>
      </c>
      <c r="C75" t="s">
        <v>46</v>
      </c>
      <c r="D75" t="str">
        <f t="shared" si="12"/>
        <v>WATER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100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25</v>
      </c>
      <c r="Z75" t="str">
        <f t="shared" si="13"/>
        <v>Lake</v>
      </c>
      <c r="AA75">
        <v>10</v>
      </c>
      <c r="AB75">
        <v>2209249.6887300001</v>
      </c>
      <c r="AC75">
        <v>67.746213999999995</v>
      </c>
      <c r="AD75">
        <v>162.58557099999999</v>
      </c>
      <c r="AE75">
        <v>1.63E-4</v>
      </c>
      <c r="AG75">
        <v>10134</v>
      </c>
      <c r="AH75">
        <v>1009840</v>
      </c>
      <c r="AI75" s="10">
        <v>0</v>
      </c>
      <c r="AJ75" s="10">
        <v>0.11864393737419369</v>
      </c>
      <c r="AK75" s="10">
        <v>0</v>
      </c>
      <c r="AL75" s="10">
        <v>0</v>
      </c>
      <c r="AM75" s="10">
        <v>0</v>
      </c>
      <c r="AN75" s="10">
        <v>6.6991090637587696E-5</v>
      </c>
      <c r="AO75" s="10">
        <v>0</v>
      </c>
      <c r="AP75" s="10">
        <v>1.4678291129700633E-2</v>
      </c>
      <c r="AQ75" s="10">
        <v>0</v>
      </c>
      <c r="AR75" s="10">
        <v>0.4502113614173866</v>
      </c>
      <c r="AS75" s="10">
        <v>2.9763055228269879E-2</v>
      </c>
      <c r="AT75" s="10">
        <v>2.3537410224017297E-3</v>
      </c>
      <c r="AU75" s="10">
        <v>0</v>
      </c>
      <c r="AV75" s="10">
        <v>0</v>
      </c>
      <c r="AW75" s="10">
        <v>0.38428262273740982</v>
      </c>
      <c r="AX75" s="10">
        <v>1</v>
      </c>
      <c r="AY75" s="10">
        <f t="shared" si="8"/>
        <v>0.38428262273740982</v>
      </c>
      <c r="AZ75" s="10">
        <f t="shared" si="9"/>
        <v>0.61571737726259013</v>
      </c>
      <c r="BA75" s="10"/>
      <c r="BC75">
        <v>10134</v>
      </c>
      <c r="BD75">
        <v>1009840</v>
      </c>
      <c r="BE75" s="10">
        <v>0</v>
      </c>
      <c r="BF75" s="10">
        <v>0.11161394663978576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6.7719845069523629E-3</v>
      </c>
      <c r="BM75" s="10">
        <v>0</v>
      </c>
      <c r="BN75" s="10">
        <v>0.42372724849032412</v>
      </c>
      <c r="BO75" s="10">
        <v>1.3878019182084049E-2</v>
      </c>
      <c r="BP75" s="10">
        <v>3.182076805285416E-4</v>
      </c>
      <c r="BQ75" s="10">
        <v>0</v>
      </c>
      <c r="BR75" s="10">
        <v>0</v>
      </c>
      <c r="BS75" s="10">
        <v>0.44369059350032525</v>
      </c>
      <c r="BT75" s="10">
        <v>1</v>
      </c>
      <c r="BU75" s="10">
        <f t="shared" si="10"/>
        <v>0.44369059350032525</v>
      </c>
      <c r="BV75" s="10">
        <f t="shared" si="11"/>
        <v>0.55630940649967475</v>
      </c>
      <c r="BW75" s="11">
        <f t="shared" si="14"/>
        <v>5.940797076291543E-2</v>
      </c>
    </row>
    <row r="76" spans="1:75" x14ac:dyDescent="0.25">
      <c r="A76">
        <v>1010847</v>
      </c>
      <c r="B76">
        <v>10694</v>
      </c>
      <c r="C76" t="s">
        <v>43</v>
      </c>
      <c r="D76" t="str">
        <f t="shared" si="12"/>
        <v>NAT_FOR</v>
      </c>
      <c r="E76">
        <v>100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f t="shared" si="13"/>
        <v>NotLake</v>
      </c>
      <c r="AA76">
        <v>48</v>
      </c>
      <c r="AB76">
        <v>499037.49365199998</v>
      </c>
      <c r="AC76">
        <v>88.955388999999997</v>
      </c>
      <c r="AD76">
        <v>460.73489899999998</v>
      </c>
      <c r="AE76">
        <v>4.6099999999999998E-4</v>
      </c>
      <c r="AG76">
        <v>10142</v>
      </c>
      <c r="AH76">
        <v>1010344</v>
      </c>
      <c r="AI76" s="10">
        <v>0</v>
      </c>
      <c r="AJ76" s="10">
        <v>0.62917896150985819</v>
      </c>
      <c r="AK76" s="10">
        <v>0</v>
      </c>
      <c r="AL76" s="10">
        <v>0.13616688771680907</v>
      </c>
      <c r="AM76" s="10">
        <v>0</v>
      </c>
      <c r="AN76" s="10">
        <v>0</v>
      </c>
      <c r="AO76" s="10">
        <v>7.5249581032869634E-2</v>
      </c>
      <c r="AP76" s="10">
        <v>3.2388129778709959E-2</v>
      </c>
      <c r="AQ76" s="10">
        <v>3.2009431472742288E-3</v>
      </c>
      <c r="AR76" s="10">
        <v>0.12381549681447895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1</v>
      </c>
      <c r="AY76" s="10">
        <f t="shared" si="8"/>
        <v>0</v>
      </c>
      <c r="AZ76" s="10">
        <f t="shared" si="9"/>
        <v>1</v>
      </c>
      <c r="BA76" s="10"/>
      <c r="BC76">
        <v>10142</v>
      </c>
      <c r="BD76">
        <v>1010344</v>
      </c>
      <c r="BE76" s="10">
        <v>0</v>
      </c>
      <c r="BF76" s="10">
        <v>0.62917896150985819</v>
      </c>
      <c r="BG76" s="10">
        <v>0</v>
      </c>
      <c r="BH76" s="10">
        <v>0.13616688771680907</v>
      </c>
      <c r="BI76" s="10">
        <v>0</v>
      </c>
      <c r="BJ76" s="10">
        <v>0</v>
      </c>
      <c r="BK76" s="10">
        <v>7.5249581032869634E-2</v>
      </c>
      <c r="BL76" s="10">
        <v>3.2388129778709959E-2</v>
      </c>
      <c r="BM76" s="10">
        <v>3.2009431472742288E-3</v>
      </c>
      <c r="BN76" s="10">
        <v>0.12381549681447895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1</v>
      </c>
      <c r="BU76" s="10">
        <f t="shared" si="10"/>
        <v>0</v>
      </c>
      <c r="BV76" s="10">
        <f t="shared" si="11"/>
        <v>1</v>
      </c>
      <c r="BW76" s="11">
        <f t="shared" si="14"/>
        <v>0</v>
      </c>
    </row>
    <row r="77" spans="1:75" x14ac:dyDescent="0.25">
      <c r="A77">
        <v>1010359</v>
      </c>
      <c r="B77">
        <v>10700</v>
      </c>
      <c r="C77" t="s">
        <v>44</v>
      </c>
      <c r="D77" t="str">
        <f t="shared" si="12"/>
        <v>SCRUB</v>
      </c>
      <c r="E77">
        <v>0</v>
      </c>
      <c r="F77">
        <v>0</v>
      </c>
      <c r="G77">
        <v>0</v>
      </c>
      <c r="H77">
        <v>100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f t="shared" si="13"/>
        <v>NotLake</v>
      </c>
      <c r="AA77">
        <v>28</v>
      </c>
      <c r="AB77">
        <v>311110.45064200001</v>
      </c>
      <c r="AC77">
        <v>2361.1872600000002</v>
      </c>
      <c r="AD77">
        <v>170300.87600799999</v>
      </c>
      <c r="AE77">
        <v>0.17030100000000001</v>
      </c>
      <c r="AG77">
        <v>10173</v>
      </c>
      <c r="AH77">
        <v>1010301</v>
      </c>
      <c r="AI77" s="10">
        <v>0</v>
      </c>
      <c r="AJ77" s="10">
        <v>0.88874337548258453</v>
      </c>
      <c r="AK77" s="10">
        <v>0</v>
      </c>
      <c r="AL77" s="10">
        <v>7.5840437888242559E-2</v>
      </c>
      <c r="AM77" s="10">
        <v>0</v>
      </c>
      <c r="AN77" s="10">
        <v>0</v>
      </c>
      <c r="AO77" s="10">
        <v>0</v>
      </c>
      <c r="AP77" s="10">
        <v>9.0051115176081659E-4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3.4515675477411981E-2</v>
      </c>
      <c r="AX77" s="10">
        <v>1</v>
      </c>
      <c r="AY77" s="10">
        <f t="shared" si="8"/>
        <v>3.4515675477411981E-2</v>
      </c>
      <c r="AZ77" s="10">
        <f t="shared" si="9"/>
        <v>0.96548432452258803</v>
      </c>
      <c r="BA77" s="10"/>
      <c r="BC77">
        <v>10173</v>
      </c>
      <c r="BD77">
        <v>1010301</v>
      </c>
      <c r="BE77" s="10">
        <v>0</v>
      </c>
      <c r="BF77" s="10">
        <v>0.48829570623116098</v>
      </c>
      <c r="BG77" s="10">
        <v>0</v>
      </c>
      <c r="BH77" s="10">
        <v>7.5840437888242573E-2</v>
      </c>
      <c r="BI77" s="10">
        <v>0</v>
      </c>
      <c r="BJ77" s="10">
        <v>0</v>
      </c>
      <c r="BK77" s="10">
        <v>0</v>
      </c>
      <c r="BL77" s="10">
        <v>9.0051115176081669E-4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0.43496334472883563</v>
      </c>
      <c r="BT77" s="10">
        <v>1</v>
      </c>
      <c r="BU77" s="10">
        <f t="shared" si="10"/>
        <v>0.43496334472883563</v>
      </c>
      <c r="BV77" s="10">
        <f t="shared" si="11"/>
        <v>0.56503665527116431</v>
      </c>
      <c r="BW77" s="11">
        <f t="shared" si="14"/>
        <v>0.40044766925142367</v>
      </c>
    </row>
    <row r="78" spans="1:75" x14ac:dyDescent="0.25">
      <c r="A78">
        <v>1010359</v>
      </c>
      <c r="B78">
        <v>10700</v>
      </c>
      <c r="C78" t="s">
        <v>44</v>
      </c>
      <c r="D78" t="str">
        <f t="shared" si="12"/>
        <v>WATER</v>
      </c>
      <c r="E78">
        <v>0</v>
      </c>
      <c r="F78">
        <v>0</v>
      </c>
      <c r="G78">
        <v>0</v>
      </c>
      <c r="H78">
        <v>100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25</v>
      </c>
      <c r="Z78" t="str">
        <f t="shared" si="13"/>
        <v>Lake</v>
      </c>
      <c r="AA78">
        <v>28</v>
      </c>
      <c r="AB78">
        <v>311110.45064200001</v>
      </c>
      <c r="AC78">
        <v>567.71863699999994</v>
      </c>
      <c r="AD78">
        <v>5850.844298</v>
      </c>
      <c r="AE78">
        <v>5.8510000000000003E-3</v>
      </c>
      <c r="AG78">
        <v>10178</v>
      </c>
      <c r="AH78">
        <v>1010288</v>
      </c>
      <c r="AI78" s="10">
        <v>0</v>
      </c>
      <c r="AJ78" s="10">
        <v>0.36416859153703812</v>
      </c>
      <c r="AK78" s="10">
        <v>0</v>
      </c>
      <c r="AL78" s="10">
        <v>2.7536227748664953E-2</v>
      </c>
      <c r="AM78" s="10">
        <v>0</v>
      </c>
      <c r="AN78" s="10">
        <v>0</v>
      </c>
      <c r="AO78" s="10">
        <v>2.464642544795146E-3</v>
      </c>
      <c r="AP78" s="10">
        <v>6.0656600747881692E-3</v>
      </c>
      <c r="AQ78" s="10">
        <v>6.310198269970739E-2</v>
      </c>
      <c r="AR78" s="10">
        <v>0.11429093197015894</v>
      </c>
      <c r="AS78" s="10">
        <v>0</v>
      </c>
      <c r="AT78" s="10">
        <v>0</v>
      </c>
      <c r="AU78" s="10">
        <v>0</v>
      </c>
      <c r="AV78" s="10">
        <v>0</v>
      </c>
      <c r="AW78" s="10">
        <v>0.42237196342484729</v>
      </c>
      <c r="AX78" s="10">
        <v>1</v>
      </c>
      <c r="AY78" s="10">
        <f t="shared" si="8"/>
        <v>0.42237196342484729</v>
      </c>
      <c r="AZ78" s="10">
        <f t="shared" si="9"/>
        <v>0.57762803657515271</v>
      </c>
      <c r="BA78" s="10"/>
      <c r="BC78">
        <v>10178</v>
      </c>
      <c r="BD78">
        <v>1010288</v>
      </c>
      <c r="BE78" s="10">
        <v>0</v>
      </c>
      <c r="BF78" s="10">
        <v>0.28065466042147891</v>
      </c>
      <c r="BG78" s="10">
        <v>0</v>
      </c>
      <c r="BH78" s="10">
        <v>2.7536227748664956E-2</v>
      </c>
      <c r="BI78" s="10">
        <v>0</v>
      </c>
      <c r="BJ78" s="10">
        <v>0</v>
      </c>
      <c r="BK78" s="10">
        <v>2.4646425447951465E-3</v>
      </c>
      <c r="BL78" s="10">
        <v>6.0656600747881701E-3</v>
      </c>
      <c r="BM78" s="10">
        <v>6.3101982699707404E-2</v>
      </c>
      <c r="BN78" s="10">
        <v>0.11429093197015895</v>
      </c>
      <c r="BO78" s="10">
        <v>0</v>
      </c>
      <c r="BP78" s="10">
        <v>0</v>
      </c>
      <c r="BQ78" s="10">
        <v>0</v>
      </c>
      <c r="BR78" s="10">
        <v>0</v>
      </c>
      <c r="BS78" s="10">
        <v>0.50588589454040656</v>
      </c>
      <c r="BT78" s="10">
        <v>1</v>
      </c>
      <c r="BU78" s="10">
        <f t="shared" si="10"/>
        <v>0.50588589454040656</v>
      </c>
      <c r="BV78" s="10">
        <f t="shared" si="11"/>
        <v>0.49411410545959344</v>
      </c>
      <c r="BW78" s="11">
        <f t="shared" si="14"/>
        <v>8.351393111555927E-2</v>
      </c>
    </row>
    <row r="79" spans="1:75" x14ac:dyDescent="0.25">
      <c r="A79">
        <v>1010371</v>
      </c>
      <c r="B79">
        <v>10698</v>
      </c>
      <c r="C79" t="s">
        <v>44</v>
      </c>
      <c r="D79" t="str">
        <f t="shared" si="12"/>
        <v>SCRUB</v>
      </c>
      <c r="E79">
        <v>0</v>
      </c>
      <c r="F79">
        <v>0</v>
      </c>
      <c r="G79">
        <v>0</v>
      </c>
      <c r="H79">
        <v>100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f t="shared" si="13"/>
        <v>NotLake</v>
      </c>
      <c r="AA79">
        <v>32</v>
      </c>
      <c r="AB79">
        <v>66538.247600000002</v>
      </c>
      <c r="AC79">
        <v>470.68054599999999</v>
      </c>
      <c r="AD79">
        <v>4897.7486349999999</v>
      </c>
      <c r="AE79">
        <v>4.8979999999999996E-3</v>
      </c>
      <c r="AG79">
        <v>10182</v>
      </c>
      <c r="AH79">
        <v>1010404</v>
      </c>
      <c r="AI79" s="10">
        <v>0</v>
      </c>
      <c r="AJ79" s="10">
        <v>0</v>
      </c>
      <c r="AK79" s="10">
        <v>0</v>
      </c>
      <c r="AL79" s="10">
        <v>9.4610109814904045E-2</v>
      </c>
      <c r="AM79" s="10">
        <v>0</v>
      </c>
      <c r="AN79" s="10">
        <v>0</v>
      </c>
      <c r="AO79" s="10">
        <v>0</v>
      </c>
      <c r="AP79" s="10">
        <v>2.3025560443221772E-2</v>
      </c>
      <c r="AQ79" s="10">
        <v>0.66705237707169263</v>
      </c>
      <c r="AR79" s="10">
        <v>0.21531195267018155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1</v>
      </c>
      <c r="AY79" s="10">
        <f t="shared" si="8"/>
        <v>0</v>
      </c>
      <c r="AZ79" s="10">
        <f t="shared" si="9"/>
        <v>1</v>
      </c>
      <c r="BA79" s="10"/>
      <c r="BC79">
        <v>10182</v>
      </c>
      <c r="BD79">
        <v>1010404</v>
      </c>
      <c r="BE79" s="10">
        <v>0</v>
      </c>
      <c r="BF79" s="10">
        <v>0</v>
      </c>
      <c r="BG79" s="10">
        <v>0</v>
      </c>
      <c r="BH79" s="10">
        <v>9.4610109814904045E-2</v>
      </c>
      <c r="BI79" s="10">
        <v>0</v>
      </c>
      <c r="BJ79" s="10">
        <v>0</v>
      </c>
      <c r="BK79" s="10">
        <v>0</v>
      </c>
      <c r="BL79" s="10">
        <v>2.3025560443221772E-2</v>
      </c>
      <c r="BM79" s="10">
        <v>0.66705237707169263</v>
      </c>
      <c r="BN79" s="10">
        <v>0.21531195267018155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1</v>
      </c>
      <c r="BU79" s="10">
        <f t="shared" si="10"/>
        <v>0</v>
      </c>
      <c r="BV79" s="10">
        <f t="shared" si="11"/>
        <v>1</v>
      </c>
      <c r="BW79" s="11">
        <f t="shared" si="14"/>
        <v>0</v>
      </c>
    </row>
    <row r="80" spans="1:75" x14ac:dyDescent="0.25">
      <c r="A80">
        <v>1010371</v>
      </c>
      <c r="B80">
        <v>10698</v>
      </c>
      <c r="C80" t="s">
        <v>44</v>
      </c>
      <c r="D80" t="str">
        <f t="shared" si="12"/>
        <v>WATER</v>
      </c>
      <c r="E80">
        <v>0</v>
      </c>
      <c r="F80">
        <v>0</v>
      </c>
      <c r="G80">
        <v>0</v>
      </c>
      <c r="H80">
        <v>100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25</v>
      </c>
      <c r="Z80" t="str">
        <f t="shared" si="13"/>
        <v>Lake</v>
      </c>
      <c r="AA80">
        <v>32</v>
      </c>
      <c r="AB80">
        <v>66538.247600000002</v>
      </c>
      <c r="AC80">
        <v>500.36543</v>
      </c>
      <c r="AD80">
        <v>2763.8582489999999</v>
      </c>
      <c r="AE80">
        <v>2.764E-3</v>
      </c>
      <c r="AG80">
        <v>10241</v>
      </c>
      <c r="AH80">
        <v>1010423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9.9077342250294115E-6</v>
      </c>
      <c r="AO80" s="10">
        <v>0</v>
      </c>
      <c r="AP80" s="10">
        <v>0</v>
      </c>
      <c r="AQ80" s="10">
        <v>0</v>
      </c>
      <c r="AR80" s="10">
        <v>0.83645798501455193</v>
      </c>
      <c r="AS80" s="10">
        <v>0.14545296922410056</v>
      </c>
      <c r="AT80" s="10">
        <v>0</v>
      </c>
      <c r="AU80" s="10">
        <v>0</v>
      </c>
      <c r="AV80" s="10">
        <v>0</v>
      </c>
      <c r="AW80" s="10">
        <v>1.807913802712242E-2</v>
      </c>
      <c r="AX80" s="10">
        <v>1</v>
      </c>
      <c r="AY80" s="10">
        <f t="shared" si="8"/>
        <v>1.807913802712242E-2</v>
      </c>
      <c r="AZ80" s="10">
        <f t="shared" si="9"/>
        <v>0.98192086197287753</v>
      </c>
      <c r="BA80" s="10"/>
      <c r="BC80">
        <v>10241</v>
      </c>
      <c r="BD80">
        <v>1010423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0.81700662579726302</v>
      </c>
      <c r="BO80" s="10">
        <v>0.14537866121741286</v>
      </c>
      <c r="BP80" s="10">
        <v>0</v>
      </c>
      <c r="BQ80" s="10">
        <v>0</v>
      </c>
      <c r="BR80" s="10">
        <v>0</v>
      </c>
      <c r="BS80" s="10">
        <v>3.7614712985324171E-2</v>
      </c>
      <c r="BT80" s="10">
        <v>1</v>
      </c>
      <c r="BU80" s="10">
        <f t="shared" si="10"/>
        <v>3.7614712985324171E-2</v>
      </c>
      <c r="BV80" s="10">
        <f t="shared" si="11"/>
        <v>0.96238528701467585</v>
      </c>
      <c r="BW80" s="11">
        <f t="shared" si="14"/>
        <v>1.9535574958201751E-2</v>
      </c>
    </row>
    <row r="81" spans="1:75" x14ac:dyDescent="0.25">
      <c r="A81">
        <v>1010422</v>
      </c>
      <c r="B81">
        <v>10701</v>
      </c>
      <c r="C81" t="s">
        <v>44</v>
      </c>
      <c r="D81" t="str">
        <f t="shared" si="12"/>
        <v>SCRUB</v>
      </c>
      <c r="E81">
        <v>0</v>
      </c>
      <c r="F81">
        <v>0</v>
      </c>
      <c r="G81">
        <v>0</v>
      </c>
      <c r="H81">
        <v>100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f t="shared" si="13"/>
        <v>NotLake</v>
      </c>
      <c r="AA81">
        <v>37</v>
      </c>
      <c r="AB81">
        <v>155554.77942400001</v>
      </c>
      <c r="AC81">
        <v>2263.2709850000001</v>
      </c>
      <c r="AD81">
        <v>35586.643676</v>
      </c>
      <c r="AE81">
        <v>3.5587000000000001E-2</v>
      </c>
      <c r="AG81">
        <v>10263</v>
      </c>
      <c r="AH81">
        <v>1010366</v>
      </c>
      <c r="AI81" s="10">
        <v>0</v>
      </c>
      <c r="AJ81" s="10">
        <v>2.1811312431030969E-4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7.101738681992914E-2</v>
      </c>
      <c r="AR81" s="10">
        <v>0.33578700329202954</v>
      </c>
      <c r="AS81" s="10">
        <v>5.3869012594492584E-3</v>
      </c>
      <c r="AT81" s="10">
        <v>0</v>
      </c>
      <c r="AU81" s="10">
        <v>0</v>
      </c>
      <c r="AV81" s="10">
        <v>0</v>
      </c>
      <c r="AW81" s="10">
        <v>0.58759059550428183</v>
      </c>
      <c r="AX81" s="10">
        <v>1</v>
      </c>
      <c r="AY81" s="10">
        <f t="shared" si="8"/>
        <v>0.58759059550428183</v>
      </c>
      <c r="AZ81" s="10">
        <f t="shared" si="9"/>
        <v>0.41240940449571817</v>
      </c>
      <c r="BA81" s="10"/>
      <c r="BC81">
        <v>10263</v>
      </c>
      <c r="BD81">
        <v>1010366</v>
      </c>
      <c r="BE81" s="10">
        <v>0</v>
      </c>
      <c r="BF81" s="10">
        <v>2.6493967077241006E-5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7.101738681992914E-2</v>
      </c>
      <c r="BN81" s="10">
        <v>0.32983202208734258</v>
      </c>
      <c r="BO81" s="10">
        <v>5.3869012594492584E-3</v>
      </c>
      <c r="BP81" s="10">
        <v>0</v>
      </c>
      <c r="BQ81" s="10">
        <v>0</v>
      </c>
      <c r="BR81" s="10">
        <v>0</v>
      </c>
      <c r="BS81" s="10">
        <v>0.59373719586620188</v>
      </c>
      <c r="BT81" s="10">
        <v>1</v>
      </c>
      <c r="BU81" s="10">
        <f t="shared" si="10"/>
        <v>0.59373719586620188</v>
      </c>
      <c r="BV81" s="10">
        <f t="shared" si="11"/>
        <v>0.40626280413379812</v>
      </c>
      <c r="BW81" s="11">
        <f t="shared" si="14"/>
        <v>6.1466003619200515E-3</v>
      </c>
    </row>
    <row r="82" spans="1:75" x14ac:dyDescent="0.25">
      <c r="A82">
        <v>1010423</v>
      </c>
      <c r="B82">
        <v>10241</v>
      </c>
      <c r="C82" t="s">
        <v>44</v>
      </c>
      <c r="D82" t="str">
        <f t="shared" si="12"/>
        <v>SCRUB</v>
      </c>
      <c r="E82">
        <v>0</v>
      </c>
      <c r="F82">
        <v>0</v>
      </c>
      <c r="G82">
        <v>0</v>
      </c>
      <c r="H82">
        <v>100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f t="shared" si="13"/>
        <v>NotLake</v>
      </c>
      <c r="AA82">
        <v>38</v>
      </c>
      <c r="AB82">
        <v>403724.58460399997</v>
      </c>
      <c r="AC82">
        <v>1050.871175</v>
      </c>
      <c r="AD82">
        <v>25377.375951999999</v>
      </c>
      <c r="AE82">
        <v>2.5377E-2</v>
      </c>
      <c r="AG82">
        <v>10275</v>
      </c>
      <c r="AH82">
        <v>1010388</v>
      </c>
      <c r="AI82" s="10">
        <v>0</v>
      </c>
      <c r="AJ82" s="10">
        <v>0.65220390162144426</v>
      </c>
      <c r="AK82" s="10">
        <v>0</v>
      </c>
      <c r="AL82" s="10">
        <v>0.30232960455810753</v>
      </c>
      <c r="AM82" s="10">
        <v>0</v>
      </c>
      <c r="AN82" s="10">
        <v>0</v>
      </c>
      <c r="AO82" s="10">
        <v>2.4799088737960492E-2</v>
      </c>
      <c r="AP82" s="10">
        <v>2.0667405082487638E-2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1</v>
      </c>
      <c r="AY82" s="10">
        <f t="shared" si="8"/>
        <v>0</v>
      </c>
      <c r="AZ82" s="10">
        <f t="shared" si="9"/>
        <v>1</v>
      </c>
      <c r="BA82" s="10"/>
      <c r="BC82">
        <v>10275</v>
      </c>
      <c r="BD82">
        <v>1010388</v>
      </c>
      <c r="BE82" s="10">
        <v>0</v>
      </c>
      <c r="BF82" s="10">
        <v>0.59172045643983218</v>
      </c>
      <c r="BG82" s="10">
        <v>0</v>
      </c>
      <c r="BH82" s="10">
        <v>0.30232960455810748</v>
      </c>
      <c r="BI82" s="10">
        <v>0</v>
      </c>
      <c r="BJ82" s="10">
        <v>0</v>
      </c>
      <c r="BK82" s="10">
        <v>2.4799088737960488E-2</v>
      </c>
      <c r="BL82" s="10">
        <v>2.0667405082487635E-2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6.048344518161209E-2</v>
      </c>
      <c r="BT82" s="10">
        <v>1</v>
      </c>
      <c r="BU82" s="10">
        <f t="shared" si="10"/>
        <v>6.048344518161209E-2</v>
      </c>
      <c r="BV82" s="10">
        <f t="shared" si="11"/>
        <v>0.93951655481838792</v>
      </c>
      <c r="BW82" s="11">
        <f t="shared" si="14"/>
        <v>6.048344518161209E-2</v>
      </c>
    </row>
    <row r="83" spans="1:75" x14ac:dyDescent="0.25">
      <c r="A83">
        <v>1010423</v>
      </c>
      <c r="B83">
        <v>10241</v>
      </c>
      <c r="C83" t="s">
        <v>44</v>
      </c>
      <c r="D83" t="str">
        <f t="shared" si="12"/>
        <v>WATER</v>
      </c>
      <c r="E83">
        <v>0</v>
      </c>
      <c r="F83">
        <v>0</v>
      </c>
      <c r="G83">
        <v>0</v>
      </c>
      <c r="H83">
        <v>100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25</v>
      </c>
      <c r="Z83" t="str">
        <f t="shared" si="13"/>
        <v>Lake</v>
      </c>
      <c r="AA83">
        <v>38</v>
      </c>
      <c r="AB83">
        <v>403724.58460399997</v>
      </c>
      <c r="AC83">
        <v>29.048677000000001</v>
      </c>
      <c r="AD83">
        <v>30.459288999999998</v>
      </c>
      <c r="AE83">
        <v>3.0000000000000001E-5</v>
      </c>
      <c r="AG83">
        <v>10318</v>
      </c>
      <c r="AH83">
        <v>1010548</v>
      </c>
      <c r="AI83" s="10">
        <v>0</v>
      </c>
      <c r="AJ83" s="10">
        <v>0.52843371884198065</v>
      </c>
      <c r="AK83" s="10">
        <v>0</v>
      </c>
      <c r="AL83" s="10">
        <v>0.11861169729908162</v>
      </c>
      <c r="AM83" s="10">
        <v>0</v>
      </c>
      <c r="AN83" s="10">
        <v>0</v>
      </c>
      <c r="AO83" s="10">
        <v>0</v>
      </c>
      <c r="AP83" s="10">
        <v>0</v>
      </c>
      <c r="AQ83" s="10">
        <v>0.19847997202016751</v>
      </c>
      <c r="AR83" s="10">
        <v>0.10672812798415524</v>
      </c>
      <c r="AS83" s="10">
        <v>4.7746483854614899E-2</v>
      </c>
      <c r="AT83" s="10">
        <v>0</v>
      </c>
      <c r="AU83" s="10">
        <v>0</v>
      </c>
      <c r="AV83" s="10">
        <v>0</v>
      </c>
      <c r="AW83" s="10">
        <v>0</v>
      </c>
      <c r="AX83" s="10">
        <v>1</v>
      </c>
      <c r="AY83" s="10">
        <f t="shared" si="8"/>
        <v>0</v>
      </c>
      <c r="AZ83" s="10">
        <f t="shared" si="9"/>
        <v>1</v>
      </c>
      <c r="BA83" s="10"/>
      <c r="BC83">
        <v>10318</v>
      </c>
      <c r="BD83">
        <v>1010548</v>
      </c>
      <c r="BE83" s="10">
        <v>0</v>
      </c>
      <c r="BF83" s="10">
        <v>0.52843371884198065</v>
      </c>
      <c r="BG83" s="10">
        <v>0</v>
      </c>
      <c r="BH83" s="10">
        <v>0.11861169729908162</v>
      </c>
      <c r="BI83" s="10">
        <v>0</v>
      </c>
      <c r="BJ83" s="10">
        <v>0</v>
      </c>
      <c r="BK83" s="10">
        <v>0</v>
      </c>
      <c r="BL83" s="10">
        <v>0</v>
      </c>
      <c r="BM83" s="10">
        <v>0.19847997202016751</v>
      </c>
      <c r="BN83" s="10">
        <v>0.10672812798415524</v>
      </c>
      <c r="BO83" s="10">
        <v>4.7746483854614899E-2</v>
      </c>
      <c r="BP83" s="10">
        <v>0</v>
      </c>
      <c r="BQ83" s="10">
        <v>0</v>
      </c>
      <c r="BR83" s="10">
        <v>0</v>
      </c>
      <c r="BS83" s="10">
        <v>0</v>
      </c>
      <c r="BT83" s="10">
        <v>1</v>
      </c>
      <c r="BU83" s="10">
        <f t="shared" si="10"/>
        <v>0</v>
      </c>
      <c r="BV83" s="10">
        <f t="shared" si="11"/>
        <v>1</v>
      </c>
      <c r="BW83" s="11">
        <f t="shared" si="14"/>
        <v>0</v>
      </c>
    </row>
    <row r="84" spans="1:75" x14ac:dyDescent="0.25">
      <c r="A84">
        <v>1010847</v>
      </c>
      <c r="B84">
        <v>10694</v>
      </c>
      <c r="C84" t="s">
        <v>42</v>
      </c>
      <c r="D84" t="str">
        <f t="shared" si="12"/>
        <v>PLANT_FOR</v>
      </c>
      <c r="E84">
        <v>0</v>
      </c>
      <c r="F84">
        <v>0</v>
      </c>
      <c r="G84">
        <v>100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f t="shared" si="13"/>
        <v>NotLake</v>
      </c>
      <c r="AA84">
        <v>48</v>
      </c>
      <c r="AB84">
        <v>499037.49365199998</v>
      </c>
      <c r="AC84">
        <v>2644.600762</v>
      </c>
      <c r="AD84">
        <v>274009.53705099999</v>
      </c>
      <c r="AE84">
        <v>0.27400999999999998</v>
      </c>
      <c r="AG84">
        <v>10368</v>
      </c>
      <c r="AH84">
        <v>1010556</v>
      </c>
      <c r="AI84" s="10">
        <v>0</v>
      </c>
      <c r="AJ84" s="10">
        <v>7.9755627349313817E-3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0.18566218004583454</v>
      </c>
      <c r="AR84" s="10">
        <v>0.73544195709393734</v>
      </c>
      <c r="AS84" s="10">
        <v>7.0920300125296751E-2</v>
      </c>
      <c r="AT84" s="10">
        <v>0</v>
      </c>
      <c r="AU84" s="10">
        <v>0</v>
      </c>
      <c r="AV84" s="10">
        <v>0</v>
      </c>
      <c r="AW84" s="10">
        <v>0</v>
      </c>
      <c r="AX84" s="10">
        <v>1</v>
      </c>
      <c r="AY84" s="10">
        <f t="shared" si="8"/>
        <v>0</v>
      </c>
      <c r="AZ84" s="10">
        <f t="shared" si="9"/>
        <v>1</v>
      </c>
      <c r="BA84" s="10"/>
      <c r="BC84">
        <v>10368</v>
      </c>
      <c r="BD84">
        <v>1010556</v>
      </c>
      <c r="BE84" s="10">
        <v>0</v>
      </c>
      <c r="BF84" s="10">
        <v>7.9755627349313817E-3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0.18566218004583454</v>
      </c>
      <c r="BN84" s="10">
        <v>0.73544195709393734</v>
      </c>
      <c r="BO84" s="10">
        <v>7.0920300125296751E-2</v>
      </c>
      <c r="BP84" s="10">
        <v>0</v>
      </c>
      <c r="BQ84" s="10">
        <v>0</v>
      </c>
      <c r="BR84" s="10">
        <v>0</v>
      </c>
      <c r="BS84" s="10">
        <v>0</v>
      </c>
      <c r="BT84" s="10">
        <v>1</v>
      </c>
      <c r="BU84" s="10">
        <f t="shared" si="10"/>
        <v>0</v>
      </c>
      <c r="BV84" s="10">
        <f t="shared" si="11"/>
        <v>1</v>
      </c>
      <c r="BW84" s="11">
        <f t="shared" si="14"/>
        <v>0</v>
      </c>
    </row>
    <row r="85" spans="1:75" x14ac:dyDescent="0.25">
      <c r="A85">
        <v>1010490</v>
      </c>
      <c r="B85">
        <v>10696</v>
      </c>
      <c r="C85" t="s">
        <v>42</v>
      </c>
      <c r="D85" t="str">
        <f t="shared" si="12"/>
        <v>PLANT_FOR</v>
      </c>
      <c r="E85">
        <v>0</v>
      </c>
      <c r="F85">
        <v>0</v>
      </c>
      <c r="G85">
        <v>100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tr">
        <f t="shared" si="13"/>
        <v>NotLake</v>
      </c>
      <c r="AA85">
        <v>43</v>
      </c>
      <c r="AB85">
        <v>1010666.12703</v>
      </c>
      <c r="AC85">
        <v>1623.863914</v>
      </c>
      <c r="AD85">
        <v>53865.654107000002</v>
      </c>
      <c r="AE85">
        <v>5.3865999999999997E-2</v>
      </c>
      <c r="AG85">
        <v>10369</v>
      </c>
      <c r="AH85">
        <v>1010387</v>
      </c>
      <c r="AI85" s="10">
        <v>0</v>
      </c>
      <c r="AJ85" s="10">
        <v>0.44491134714332975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0.15892757846428898</v>
      </c>
      <c r="AR85" s="10">
        <v>0.39616107439238124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1</v>
      </c>
      <c r="AY85" s="10">
        <f t="shared" si="8"/>
        <v>0</v>
      </c>
      <c r="AZ85" s="10">
        <f t="shared" si="9"/>
        <v>1</v>
      </c>
      <c r="BA85" s="10"/>
      <c r="BC85">
        <v>10369</v>
      </c>
      <c r="BD85">
        <v>1010387</v>
      </c>
      <c r="BE85" s="10">
        <v>0</v>
      </c>
      <c r="BF85" s="10">
        <v>0.42671269998803418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0.15892757846428898</v>
      </c>
      <c r="BN85" s="10">
        <v>0.39616107439238124</v>
      </c>
      <c r="BO85" s="10">
        <v>0</v>
      </c>
      <c r="BP85" s="10">
        <v>0</v>
      </c>
      <c r="BQ85" s="10">
        <v>0</v>
      </c>
      <c r="BR85" s="10">
        <v>0</v>
      </c>
      <c r="BS85" s="10">
        <v>1.8198647155295591E-2</v>
      </c>
      <c r="BT85" s="10">
        <v>1</v>
      </c>
      <c r="BU85" s="10">
        <f t="shared" si="10"/>
        <v>1.8198647155295591E-2</v>
      </c>
      <c r="BV85" s="10">
        <f t="shared" si="11"/>
        <v>0.98180135284470438</v>
      </c>
      <c r="BW85" s="11">
        <f t="shared" si="14"/>
        <v>1.8198647155295591E-2</v>
      </c>
    </row>
    <row r="86" spans="1:75" x14ac:dyDescent="0.25">
      <c r="A86">
        <v>1010660</v>
      </c>
      <c r="B86">
        <v>10449</v>
      </c>
      <c r="C86" t="s">
        <v>42</v>
      </c>
      <c r="D86" t="str">
        <f t="shared" si="12"/>
        <v>PLANT_FOR</v>
      </c>
      <c r="E86">
        <v>0</v>
      </c>
      <c r="F86">
        <v>0</v>
      </c>
      <c r="G86">
        <v>100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f t="shared" si="13"/>
        <v>NotLake</v>
      </c>
      <c r="AA86">
        <v>46</v>
      </c>
      <c r="AB86">
        <v>513427.38872300001</v>
      </c>
      <c r="AC86">
        <v>1494.7525479999999</v>
      </c>
      <c r="AD86">
        <v>117591.023879</v>
      </c>
      <c r="AE86">
        <v>0.117591</v>
      </c>
      <c r="AG86">
        <v>10370</v>
      </c>
      <c r="AH86">
        <v>1010306</v>
      </c>
      <c r="AI86" s="10">
        <v>0</v>
      </c>
      <c r="AJ86" s="10">
        <v>0.86641289744738015</v>
      </c>
      <c r="AK86" s="10">
        <v>0</v>
      </c>
      <c r="AL86" s="10">
        <v>0.11091954022988505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8.9565606806986115E-5</v>
      </c>
      <c r="AS86" s="10">
        <v>0</v>
      </c>
      <c r="AT86" s="10">
        <v>0</v>
      </c>
      <c r="AU86" s="10">
        <v>0</v>
      </c>
      <c r="AV86" s="10">
        <v>0</v>
      </c>
      <c r="AW86" s="10">
        <v>2.2577996715927747E-2</v>
      </c>
      <c r="AX86" s="10">
        <v>1</v>
      </c>
      <c r="AY86" s="10">
        <f t="shared" si="8"/>
        <v>2.2577996715927747E-2</v>
      </c>
      <c r="AZ86" s="10">
        <f t="shared" si="9"/>
        <v>0.97742200328407225</v>
      </c>
      <c r="BA86" s="10"/>
      <c r="BC86">
        <v>10370</v>
      </c>
      <c r="BD86">
        <v>1010306</v>
      </c>
      <c r="BE86" s="10">
        <v>0</v>
      </c>
      <c r="BF86" s="10">
        <v>0.37739214808180327</v>
      </c>
      <c r="BG86" s="10">
        <v>0</v>
      </c>
      <c r="BH86" s="10">
        <v>0.11018062397372744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8.9565606806986129E-5</v>
      </c>
      <c r="BO86" s="10">
        <v>0</v>
      </c>
      <c r="BP86" s="10">
        <v>0</v>
      </c>
      <c r="BQ86" s="10">
        <v>0</v>
      </c>
      <c r="BR86" s="10">
        <v>0</v>
      </c>
      <c r="BS86" s="10">
        <v>0.51233766233766243</v>
      </c>
      <c r="BT86" s="10">
        <v>1</v>
      </c>
      <c r="BU86" s="10">
        <f t="shared" si="10"/>
        <v>0.51233766233766243</v>
      </c>
      <c r="BV86" s="10">
        <f t="shared" si="11"/>
        <v>0.48766233766233757</v>
      </c>
      <c r="BW86" s="11">
        <f t="shared" si="14"/>
        <v>0.48975966562173467</v>
      </c>
    </row>
    <row r="87" spans="1:75" x14ac:dyDescent="0.25">
      <c r="A87">
        <v>1010665</v>
      </c>
      <c r="B87">
        <v>10695</v>
      </c>
      <c r="C87" t="s">
        <v>42</v>
      </c>
      <c r="D87" t="str">
        <f t="shared" si="12"/>
        <v>PLANT_FOR</v>
      </c>
      <c r="E87">
        <v>0</v>
      </c>
      <c r="F87">
        <v>0</v>
      </c>
      <c r="G87">
        <v>100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f t="shared" si="13"/>
        <v>NotLake</v>
      </c>
      <c r="AA87">
        <v>47</v>
      </c>
      <c r="AB87">
        <v>362365.16101899999</v>
      </c>
      <c r="AC87">
        <v>667.44440299999997</v>
      </c>
      <c r="AD87">
        <v>11413.349575</v>
      </c>
      <c r="AE87">
        <v>1.1413E-2</v>
      </c>
      <c r="AG87">
        <v>10371</v>
      </c>
      <c r="AH87">
        <v>1010300</v>
      </c>
      <c r="AI87" s="10">
        <v>0</v>
      </c>
      <c r="AJ87" s="10">
        <v>6.7589660886547914E-2</v>
      </c>
      <c r="AK87" s="10">
        <v>0</v>
      </c>
      <c r="AL87" s="10">
        <v>3.2500838413130535E-3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3.6220680199640955E-2</v>
      </c>
      <c r="AS87" s="10">
        <v>0</v>
      </c>
      <c r="AT87" s="10">
        <v>0</v>
      </c>
      <c r="AU87" s="10">
        <v>0</v>
      </c>
      <c r="AV87" s="10">
        <v>0</v>
      </c>
      <c r="AW87" s="10">
        <v>0.8929395750724981</v>
      </c>
      <c r="AX87" s="10">
        <v>1</v>
      </c>
      <c r="AY87" s="10">
        <f t="shared" si="8"/>
        <v>0.8929395750724981</v>
      </c>
      <c r="AZ87" s="10">
        <f t="shared" si="9"/>
        <v>0.1070604249275019</v>
      </c>
      <c r="BA87" s="10"/>
      <c r="BC87">
        <v>10371</v>
      </c>
      <c r="BD87">
        <v>1010300</v>
      </c>
      <c r="BE87" s="10">
        <v>0</v>
      </c>
      <c r="BF87" s="10">
        <v>6.007230080290387E-2</v>
      </c>
      <c r="BG87" s="10">
        <v>0</v>
      </c>
      <c r="BH87" s="10">
        <v>3.2500838413130535E-3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3.5942031129786355E-2</v>
      </c>
      <c r="BO87" s="10">
        <v>0</v>
      </c>
      <c r="BP87" s="10">
        <v>0</v>
      </c>
      <c r="BQ87" s="10">
        <v>0</v>
      </c>
      <c r="BR87" s="10">
        <v>0</v>
      </c>
      <c r="BS87" s="10">
        <v>0.90073558422599675</v>
      </c>
      <c r="BT87" s="10">
        <v>1</v>
      </c>
      <c r="BU87" s="10">
        <f t="shared" si="10"/>
        <v>0.90073558422599675</v>
      </c>
      <c r="BV87" s="10">
        <f t="shared" si="11"/>
        <v>9.9264415774003245E-2</v>
      </c>
      <c r="BW87" s="11">
        <f t="shared" si="14"/>
        <v>7.7960091534986509E-3</v>
      </c>
    </row>
    <row r="88" spans="1:75" x14ac:dyDescent="0.25">
      <c r="A88">
        <v>1010288</v>
      </c>
      <c r="B88">
        <v>10178</v>
      </c>
      <c r="C88" t="s">
        <v>43</v>
      </c>
      <c r="D88" t="str">
        <f t="shared" si="12"/>
        <v>NAT_FOR</v>
      </c>
      <c r="E88">
        <v>100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tr">
        <f t="shared" si="13"/>
        <v>NotLake</v>
      </c>
      <c r="AA88">
        <v>20</v>
      </c>
      <c r="AB88">
        <v>1401826.08345</v>
      </c>
      <c r="AC88">
        <v>516.97643800000003</v>
      </c>
      <c r="AD88">
        <v>11250.279307999999</v>
      </c>
      <c r="AE88">
        <v>1.125E-2</v>
      </c>
      <c r="AG88">
        <v>10402</v>
      </c>
      <c r="AH88">
        <v>1010461</v>
      </c>
      <c r="AI88" s="10">
        <v>0</v>
      </c>
      <c r="AJ88" s="10">
        <v>0.23595719863010051</v>
      </c>
      <c r="AK88" s="10">
        <v>0</v>
      </c>
      <c r="AL88" s="10">
        <v>0.17432343902296127</v>
      </c>
      <c r="AM88" s="10">
        <v>0</v>
      </c>
      <c r="AN88" s="10">
        <v>0</v>
      </c>
      <c r="AO88" s="10">
        <v>8.1367342916948512E-2</v>
      </c>
      <c r="AP88" s="10">
        <v>1.9408684907137647E-3</v>
      </c>
      <c r="AQ88" s="10">
        <v>0.22530479198512923</v>
      </c>
      <c r="AR88" s="10">
        <v>0.28110635895414665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1</v>
      </c>
      <c r="AY88" s="10">
        <f t="shared" si="8"/>
        <v>0</v>
      </c>
      <c r="AZ88" s="10">
        <f t="shared" si="9"/>
        <v>1</v>
      </c>
      <c r="BA88" s="10"/>
      <c r="BC88">
        <v>10402</v>
      </c>
      <c r="BD88">
        <v>1010461</v>
      </c>
      <c r="BE88" s="10">
        <v>0</v>
      </c>
      <c r="BF88" s="10">
        <v>0.23595719863010051</v>
      </c>
      <c r="BG88" s="10">
        <v>0</v>
      </c>
      <c r="BH88" s="10">
        <v>0.17432343902296127</v>
      </c>
      <c r="BI88" s="10">
        <v>0</v>
      </c>
      <c r="BJ88" s="10">
        <v>0</v>
      </c>
      <c r="BK88" s="10">
        <v>8.1367342916948512E-2</v>
      </c>
      <c r="BL88" s="10">
        <v>1.9408684907137647E-3</v>
      </c>
      <c r="BM88" s="10">
        <v>0.22530479198512923</v>
      </c>
      <c r="BN88" s="10">
        <v>0.28110635895414665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1</v>
      </c>
      <c r="BU88" s="10">
        <f t="shared" si="10"/>
        <v>0</v>
      </c>
      <c r="BV88" s="10">
        <f t="shared" si="11"/>
        <v>1</v>
      </c>
      <c r="BW88" s="11">
        <f t="shared" si="14"/>
        <v>0</v>
      </c>
    </row>
    <row r="89" spans="1:75" x14ac:dyDescent="0.25">
      <c r="A89">
        <v>1010301</v>
      </c>
      <c r="B89">
        <v>10173</v>
      </c>
      <c r="C89" t="s">
        <v>43</v>
      </c>
      <c r="D89" t="str">
        <f t="shared" si="12"/>
        <v>NAT_FOR</v>
      </c>
      <c r="E89">
        <v>100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tr">
        <f t="shared" si="13"/>
        <v>NotLake</v>
      </c>
      <c r="AA89">
        <v>23</v>
      </c>
      <c r="AB89">
        <v>425314.40753199998</v>
      </c>
      <c r="AC89">
        <v>125.929436</v>
      </c>
      <c r="AD89">
        <v>586.23452599999996</v>
      </c>
      <c r="AE89">
        <v>5.8600000000000004E-4</v>
      </c>
      <c r="AG89">
        <v>10414</v>
      </c>
      <c r="AH89">
        <v>1010462</v>
      </c>
      <c r="AI89" s="10">
        <v>0</v>
      </c>
      <c r="AJ89" s="10">
        <v>0.63442135314421755</v>
      </c>
      <c r="AK89" s="10">
        <v>0</v>
      </c>
      <c r="AL89" s="10">
        <v>5.0867174372618236E-2</v>
      </c>
      <c r="AM89" s="10">
        <v>0</v>
      </c>
      <c r="AN89" s="10">
        <v>0</v>
      </c>
      <c r="AO89" s="10">
        <v>0.21159696625597368</v>
      </c>
      <c r="AP89" s="10">
        <v>7.3449361406077735E-3</v>
      </c>
      <c r="AQ89" s="10">
        <v>4.412687039098101E-2</v>
      </c>
      <c r="AR89" s="10">
        <v>5.1642699695601986E-2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1</v>
      </c>
      <c r="AY89" s="10">
        <f t="shared" si="8"/>
        <v>0</v>
      </c>
      <c r="AZ89" s="10">
        <f t="shared" si="9"/>
        <v>1</v>
      </c>
      <c r="BA89" s="10"/>
      <c r="BC89">
        <v>10414</v>
      </c>
      <c r="BD89">
        <v>1010462</v>
      </c>
      <c r="BE89" s="10">
        <v>0</v>
      </c>
      <c r="BF89" s="10">
        <v>0.63442135314421755</v>
      </c>
      <c r="BG89" s="10">
        <v>0</v>
      </c>
      <c r="BH89" s="10">
        <v>5.0867174372618236E-2</v>
      </c>
      <c r="BI89" s="10">
        <v>0</v>
      </c>
      <c r="BJ89" s="10">
        <v>0</v>
      </c>
      <c r="BK89" s="10">
        <v>0.21159696625597368</v>
      </c>
      <c r="BL89" s="10">
        <v>7.3449361406077735E-3</v>
      </c>
      <c r="BM89" s="10">
        <v>4.412687039098101E-2</v>
      </c>
      <c r="BN89" s="10">
        <v>5.1642699695601986E-2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1</v>
      </c>
      <c r="BU89" s="10">
        <f t="shared" si="10"/>
        <v>0</v>
      </c>
      <c r="BV89" s="10">
        <f t="shared" si="11"/>
        <v>1</v>
      </c>
      <c r="BW89" s="11">
        <f t="shared" si="14"/>
        <v>0</v>
      </c>
    </row>
    <row r="90" spans="1:75" x14ac:dyDescent="0.25">
      <c r="A90">
        <v>1010388</v>
      </c>
      <c r="B90">
        <v>10275</v>
      </c>
      <c r="C90" t="s">
        <v>43</v>
      </c>
      <c r="D90" t="str">
        <f t="shared" si="12"/>
        <v>NAT_FOR</v>
      </c>
      <c r="E90">
        <v>100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tr">
        <f t="shared" si="13"/>
        <v>NotLake</v>
      </c>
      <c r="AA90">
        <v>34</v>
      </c>
      <c r="AB90">
        <v>445096.22644200001</v>
      </c>
      <c r="AC90">
        <v>2293.5056709999999</v>
      </c>
      <c r="AD90">
        <v>126597.632123</v>
      </c>
      <c r="AE90">
        <v>0.12659799999999999</v>
      </c>
      <c r="AG90">
        <v>10415</v>
      </c>
      <c r="AH90">
        <v>1010398</v>
      </c>
      <c r="AI90" s="10">
        <v>0</v>
      </c>
      <c r="AJ90" s="10">
        <v>0.2333055308160274</v>
      </c>
      <c r="AK90" s="10">
        <v>0</v>
      </c>
      <c r="AL90" s="10">
        <v>0.32478523733453968</v>
      </c>
      <c r="AM90" s="10">
        <v>0</v>
      </c>
      <c r="AN90" s="10">
        <v>0</v>
      </c>
      <c r="AO90" s="10">
        <v>1.5126454330831107E-2</v>
      </c>
      <c r="AP90" s="10">
        <v>0</v>
      </c>
      <c r="AQ90" s="10">
        <v>0.27490563637134735</v>
      </c>
      <c r="AR90" s="10">
        <v>0.1518771411472544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1</v>
      </c>
      <c r="AY90" s="10">
        <f t="shared" si="8"/>
        <v>0</v>
      </c>
      <c r="AZ90" s="10">
        <f t="shared" si="9"/>
        <v>1</v>
      </c>
      <c r="BA90" s="10"/>
      <c r="BC90">
        <v>10415</v>
      </c>
      <c r="BD90">
        <v>1010398</v>
      </c>
      <c r="BE90" s="10">
        <v>0</v>
      </c>
      <c r="BF90" s="10">
        <v>0.2333055308160274</v>
      </c>
      <c r="BG90" s="10">
        <v>0</v>
      </c>
      <c r="BH90" s="10">
        <v>0.32478523733453968</v>
      </c>
      <c r="BI90" s="10">
        <v>0</v>
      </c>
      <c r="BJ90" s="10">
        <v>0</v>
      </c>
      <c r="BK90" s="10">
        <v>1.5126454330831107E-2</v>
      </c>
      <c r="BL90" s="10">
        <v>0</v>
      </c>
      <c r="BM90" s="10">
        <v>0.27490563637134735</v>
      </c>
      <c r="BN90" s="10">
        <v>0.1518771411472544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1</v>
      </c>
      <c r="BU90" s="10">
        <f t="shared" si="10"/>
        <v>0</v>
      </c>
      <c r="BV90" s="10">
        <f t="shared" si="11"/>
        <v>1</v>
      </c>
      <c r="BW90" s="11">
        <f t="shared" si="14"/>
        <v>0</v>
      </c>
    </row>
    <row r="91" spans="1:75" x14ac:dyDescent="0.25">
      <c r="A91">
        <v>1010366</v>
      </c>
      <c r="B91">
        <v>10263</v>
      </c>
      <c r="C91" t="s">
        <v>44</v>
      </c>
      <c r="D91" t="str">
        <f t="shared" si="12"/>
        <v>SCRUB</v>
      </c>
      <c r="E91">
        <v>0</v>
      </c>
      <c r="F91">
        <v>0</v>
      </c>
      <c r="G91">
        <v>0</v>
      </c>
      <c r="H91">
        <v>100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tr">
        <f t="shared" si="13"/>
        <v>NotLake</v>
      </c>
      <c r="AA91">
        <v>30</v>
      </c>
      <c r="AB91">
        <v>1623010.61307</v>
      </c>
      <c r="AC91">
        <v>488.469133</v>
      </c>
      <c r="AD91">
        <v>8742.7763510000004</v>
      </c>
      <c r="AE91">
        <v>8.7430000000000008E-3</v>
      </c>
      <c r="AG91">
        <v>10416</v>
      </c>
      <c r="AH91">
        <v>1010367</v>
      </c>
      <c r="AI91" s="10">
        <v>0</v>
      </c>
      <c r="AJ91" s="10">
        <v>0</v>
      </c>
      <c r="AK91" s="10">
        <v>0</v>
      </c>
      <c r="AL91" s="10">
        <v>0.11437541037426133</v>
      </c>
      <c r="AM91" s="10">
        <v>0</v>
      </c>
      <c r="AN91" s="10">
        <v>0</v>
      </c>
      <c r="AO91" s="10">
        <v>0</v>
      </c>
      <c r="AP91" s="10">
        <v>0</v>
      </c>
      <c r="AQ91" s="10">
        <v>0.30091513460275771</v>
      </c>
      <c r="AR91" s="10">
        <v>0.58470945502298088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1</v>
      </c>
      <c r="AY91" s="10">
        <f t="shared" si="8"/>
        <v>0</v>
      </c>
      <c r="AZ91" s="10">
        <f t="shared" si="9"/>
        <v>1</v>
      </c>
      <c r="BA91" s="10"/>
      <c r="BC91">
        <v>10416</v>
      </c>
      <c r="BD91">
        <v>1010367</v>
      </c>
      <c r="BE91" s="10">
        <v>0</v>
      </c>
      <c r="BF91" s="10">
        <v>0</v>
      </c>
      <c r="BG91" s="10">
        <v>0</v>
      </c>
      <c r="BH91" s="10">
        <v>0.11437541037426133</v>
      </c>
      <c r="BI91" s="10">
        <v>0</v>
      </c>
      <c r="BJ91" s="10">
        <v>0</v>
      </c>
      <c r="BK91" s="10">
        <v>0</v>
      </c>
      <c r="BL91" s="10">
        <v>0</v>
      </c>
      <c r="BM91" s="10">
        <v>0.30091513460275771</v>
      </c>
      <c r="BN91" s="10">
        <v>0.58470945502298088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1</v>
      </c>
      <c r="BU91" s="10">
        <f t="shared" si="10"/>
        <v>0</v>
      </c>
      <c r="BV91" s="10">
        <f t="shared" si="11"/>
        <v>1</v>
      </c>
      <c r="BW91" s="11">
        <f t="shared" si="14"/>
        <v>0</v>
      </c>
    </row>
    <row r="92" spans="1:75" x14ac:dyDescent="0.25">
      <c r="A92">
        <v>1010474</v>
      </c>
      <c r="B92">
        <v>10429</v>
      </c>
      <c r="C92" t="s">
        <v>44</v>
      </c>
      <c r="D92" t="str">
        <f t="shared" si="12"/>
        <v>SCRUB</v>
      </c>
      <c r="E92">
        <v>0</v>
      </c>
      <c r="F92">
        <v>0</v>
      </c>
      <c r="G92">
        <v>0</v>
      </c>
      <c r="H92">
        <v>100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tr">
        <f t="shared" si="13"/>
        <v>NotLake</v>
      </c>
      <c r="AA92">
        <v>42</v>
      </c>
      <c r="AB92">
        <v>1544781.51786</v>
      </c>
      <c r="AC92">
        <v>621.15480400000001</v>
      </c>
      <c r="AD92">
        <v>15126.528482</v>
      </c>
      <c r="AE92">
        <v>1.5127E-2</v>
      </c>
      <c r="AG92">
        <v>10417</v>
      </c>
      <c r="AH92">
        <v>1010219</v>
      </c>
      <c r="AI92" s="10">
        <v>0</v>
      </c>
      <c r="AJ92" s="10">
        <v>0.19786695652554276</v>
      </c>
      <c r="AK92" s="10">
        <v>0</v>
      </c>
      <c r="AL92" s="10">
        <v>7.1648215137107042E-3</v>
      </c>
      <c r="AM92" s="10">
        <v>5.0264197325658195E-3</v>
      </c>
      <c r="AN92" s="10">
        <v>0</v>
      </c>
      <c r="AO92" s="10">
        <v>5.0346758989926382E-2</v>
      </c>
      <c r="AP92" s="10">
        <v>4.9613545799306272E-3</v>
      </c>
      <c r="AQ92" s="10">
        <v>0</v>
      </c>
      <c r="AR92" s="10">
        <v>5.1042792093326392E-2</v>
      </c>
      <c r="AS92" s="10">
        <v>0</v>
      </c>
      <c r="AT92" s="10">
        <v>0</v>
      </c>
      <c r="AU92" s="10">
        <v>0</v>
      </c>
      <c r="AV92" s="10">
        <v>0</v>
      </c>
      <c r="AW92" s="10">
        <v>0.68359089656499739</v>
      </c>
      <c r="AX92" s="10">
        <v>1</v>
      </c>
      <c r="AY92" s="10">
        <f t="shared" si="8"/>
        <v>0.68359089656499739</v>
      </c>
      <c r="AZ92" s="10">
        <f t="shared" si="9"/>
        <v>0.31640910343500261</v>
      </c>
      <c r="BA92" s="10"/>
      <c r="BC92">
        <v>10417</v>
      </c>
      <c r="BD92">
        <v>1010219</v>
      </c>
      <c r="BE92" s="10">
        <v>0</v>
      </c>
      <c r="BF92" s="10">
        <v>0.10902021721919192</v>
      </c>
      <c r="BG92" s="10">
        <v>0</v>
      </c>
      <c r="BH92" s="10">
        <v>7.1648215137107042E-3</v>
      </c>
      <c r="BI92" s="10">
        <v>5.0264197325658195E-3</v>
      </c>
      <c r="BJ92" s="10">
        <v>0</v>
      </c>
      <c r="BK92" s="10">
        <v>5.0346758989926382E-2</v>
      </c>
      <c r="BL92" s="10">
        <v>4.9613545799306272E-3</v>
      </c>
      <c r="BM92" s="10">
        <v>0</v>
      </c>
      <c r="BN92" s="10">
        <v>5.1042792093326392E-2</v>
      </c>
      <c r="BO92" s="10">
        <v>0</v>
      </c>
      <c r="BP92" s="10">
        <v>0</v>
      </c>
      <c r="BQ92" s="10">
        <v>0</v>
      </c>
      <c r="BR92" s="10">
        <v>0</v>
      </c>
      <c r="BS92" s="10">
        <v>0.77243763587134817</v>
      </c>
      <c r="BT92" s="10">
        <v>1</v>
      </c>
      <c r="BU92" s="10">
        <f t="shared" si="10"/>
        <v>0.77243763587134817</v>
      </c>
      <c r="BV92" s="10">
        <f t="shared" si="11"/>
        <v>0.22756236412865183</v>
      </c>
      <c r="BW92" s="11">
        <f t="shared" si="14"/>
        <v>8.8846739306350786E-2</v>
      </c>
    </row>
    <row r="93" spans="1:75" x14ac:dyDescent="0.25">
      <c r="A93">
        <v>1010556</v>
      </c>
      <c r="B93">
        <v>10368</v>
      </c>
      <c r="C93" t="s">
        <v>44</v>
      </c>
      <c r="D93" t="str">
        <f t="shared" si="12"/>
        <v>SCRUB</v>
      </c>
      <c r="E93">
        <v>0</v>
      </c>
      <c r="F93">
        <v>0</v>
      </c>
      <c r="G93">
        <v>0</v>
      </c>
      <c r="H93">
        <v>100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f t="shared" si="13"/>
        <v>NotLake</v>
      </c>
      <c r="AA93">
        <v>45</v>
      </c>
      <c r="AB93">
        <v>340789.19214499998</v>
      </c>
      <c r="AC93">
        <v>762.404674</v>
      </c>
      <c r="AD93">
        <v>24169.231831000001</v>
      </c>
      <c r="AE93">
        <v>2.4169E-2</v>
      </c>
      <c r="AG93">
        <v>10418</v>
      </c>
      <c r="AH93">
        <v>1010218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1</v>
      </c>
      <c r="AX93" s="10">
        <v>1</v>
      </c>
      <c r="AY93" s="10">
        <f t="shared" si="8"/>
        <v>1</v>
      </c>
      <c r="AZ93" s="10">
        <f t="shared" si="9"/>
        <v>0</v>
      </c>
      <c r="BA93" s="10"/>
      <c r="BC93">
        <v>10418</v>
      </c>
      <c r="BD93">
        <v>1010218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1</v>
      </c>
      <c r="BT93" s="10">
        <v>1</v>
      </c>
      <c r="BU93" s="10">
        <f t="shared" si="10"/>
        <v>1</v>
      </c>
      <c r="BV93" s="10">
        <f t="shared" si="11"/>
        <v>0</v>
      </c>
      <c r="BW93" s="11">
        <f t="shared" si="14"/>
        <v>0</v>
      </c>
    </row>
    <row r="94" spans="1:75" x14ac:dyDescent="0.25">
      <c r="A94">
        <v>1010367</v>
      </c>
      <c r="B94">
        <v>10416</v>
      </c>
      <c r="C94" t="s">
        <v>43</v>
      </c>
      <c r="D94" t="str">
        <f t="shared" si="12"/>
        <v>NAT_FOR</v>
      </c>
      <c r="E94">
        <v>100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tr">
        <f t="shared" si="13"/>
        <v>NotLake</v>
      </c>
      <c r="AA94">
        <v>31</v>
      </c>
      <c r="AB94">
        <v>243680.39809999999</v>
      </c>
      <c r="AC94">
        <v>1066.335114</v>
      </c>
      <c r="AD94">
        <v>26779.819272000001</v>
      </c>
      <c r="AE94">
        <v>2.6780000000000002E-2</v>
      </c>
      <c r="AG94">
        <v>10419</v>
      </c>
      <c r="AH94">
        <v>1010287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1</v>
      </c>
      <c r="AX94" s="10">
        <v>1</v>
      </c>
      <c r="AY94" s="10">
        <f t="shared" si="8"/>
        <v>1</v>
      </c>
      <c r="AZ94" s="10">
        <f t="shared" si="9"/>
        <v>0</v>
      </c>
      <c r="BA94" s="10"/>
      <c r="BC94">
        <v>10419</v>
      </c>
      <c r="BD94">
        <v>1010287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1</v>
      </c>
      <c r="BT94" s="10">
        <v>1</v>
      </c>
      <c r="BU94" s="10">
        <f t="shared" si="10"/>
        <v>1</v>
      </c>
      <c r="BV94" s="10">
        <f t="shared" si="11"/>
        <v>0</v>
      </c>
      <c r="BW94" s="11">
        <f t="shared" si="14"/>
        <v>0</v>
      </c>
    </row>
    <row r="95" spans="1:75" x14ac:dyDescent="0.25">
      <c r="A95">
        <v>1010404</v>
      </c>
      <c r="B95">
        <v>10182</v>
      </c>
      <c r="C95" t="s">
        <v>43</v>
      </c>
      <c r="D95" t="str">
        <f t="shared" si="12"/>
        <v>NAT_FOR</v>
      </c>
      <c r="E95">
        <v>100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f t="shared" si="13"/>
        <v>NotLake</v>
      </c>
      <c r="AA95">
        <v>36</v>
      </c>
      <c r="AB95">
        <v>222100.20581799999</v>
      </c>
      <c r="AC95">
        <v>471.83062799999999</v>
      </c>
      <c r="AD95">
        <v>10847.21752</v>
      </c>
      <c r="AE95">
        <v>1.0847000000000001E-2</v>
      </c>
      <c r="AG95">
        <v>10420</v>
      </c>
      <c r="AH95">
        <v>1010299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1</v>
      </c>
      <c r="AX95" s="10">
        <v>1</v>
      </c>
      <c r="AY95" s="10">
        <f t="shared" si="8"/>
        <v>1</v>
      </c>
      <c r="AZ95" s="10">
        <f t="shared" si="9"/>
        <v>0</v>
      </c>
      <c r="BA95" s="10"/>
      <c r="BC95">
        <v>10420</v>
      </c>
      <c r="BD95">
        <v>1010299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1</v>
      </c>
      <c r="BT95" s="10">
        <v>1</v>
      </c>
      <c r="BU95" s="10">
        <f t="shared" si="10"/>
        <v>1</v>
      </c>
      <c r="BV95" s="10">
        <f t="shared" si="11"/>
        <v>0</v>
      </c>
      <c r="BW95" s="11">
        <f t="shared" si="14"/>
        <v>0</v>
      </c>
    </row>
    <row r="96" spans="1:75" x14ac:dyDescent="0.25">
      <c r="A96">
        <v>1010461</v>
      </c>
      <c r="B96">
        <v>10402</v>
      </c>
      <c r="C96" t="s">
        <v>43</v>
      </c>
      <c r="D96" t="str">
        <f t="shared" si="12"/>
        <v>NAT_FOR</v>
      </c>
      <c r="E96">
        <v>100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f t="shared" si="13"/>
        <v>NotLake</v>
      </c>
      <c r="AA96">
        <v>40</v>
      </c>
      <c r="AB96">
        <v>938753.97368599998</v>
      </c>
      <c r="AC96">
        <v>1452.747832</v>
      </c>
      <c r="AD96">
        <v>85054.997401000001</v>
      </c>
      <c r="AE96">
        <v>8.5055000000000006E-2</v>
      </c>
      <c r="AG96">
        <v>10421</v>
      </c>
      <c r="AH96">
        <v>1010326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1</v>
      </c>
      <c r="AX96" s="10">
        <v>1</v>
      </c>
      <c r="AY96" s="10">
        <f t="shared" si="8"/>
        <v>1</v>
      </c>
      <c r="AZ96" s="10">
        <f t="shared" si="9"/>
        <v>0</v>
      </c>
      <c r="BA96" s="10"/>
      <c r="BC96">
        <v>10421</v>
      </c>
      <c r="BD96">
        <v>1010326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1</v>
      </c>
      <c r="BT96" s="10">
        <v>1</v>
      </c>
      <c r="BU96" s="10">
        <f t="shared" si="10"/>
        <v>1</v>
      </c>
      <c r="BV96" s="10">
        <f t="shared" si="11"/>
        <v>0</v>
      </c>
      <c r="BW96" s="11">
        <f t="shared" si="14"/>
        <v>0</v>
      </c>
    </row>
    <row r="97" spans="1:75" x14ac:dyDescent="0.25">
      <c r="A97">
        <v>1010665</v>
      </c>
      <c r="B97">
        <v>10695</v>
      </c>
      <c r="C97" t="s">
        <v>44</v>
      </c>
      <c r="D97" t="str">
        <f t="shared" si="12"/>
        <v>SCRUB</v>
      </c>
      <c r="E97">
        <v>0</v>
      </c>
      <c r="F97">
        <v>0</v>
      </c>
      <c r="G97">
        <v>0</v>
      </c>
      <c r="H97">
        <v>100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f t="shared" si="13"/>
        <v>NotLake</v>
      </c>
      <c r="AA97">
        <v>47</v>
      </c>
      <c r="AB97">
        <v>362365.16101899999</v>
      </c>
      <c r="AC97">
        <v>477.22989799999999</v>
      </c>
      <c r="AD97">
        <v>2376.885409</v>
      </c>
      <c r="AE97">
        <v>2.3770000000000002E-3</v>
      </c>
      <c r="AG97">
        <v>10422</v>
      </c>
      <c r="AH97">
        <v>1010350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1</v>
      </c>
      <c r="AX97" s="10">
        <v>1</v>
      </c>
      <c r="AY97" s="10">
        <f t="shared" si="8"/>
        <v>1</v>
      </c>
      <c r="AZ97" s="10">
        <f t="shared" si="9"/>
        <v>0</v>
      </c>
      <c r="BA97" s="10"/>
      <c r="BC97">
        <v>10422</v>
      </c>
      <c r="BD97">
        <v>1010350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1</v>
      </c>
      <c r="BT97" s="10">
        <v>1</v>
      </c>
      <c r="BU97" s="10">
        <f t="shared" si="10"/>
        <v>1</v>
      </c>
      <c r="BV97" s="10">
        <f t="shared" si="11"/>
        <v>0</v>
      </c>
      <c r="BW97" s="11">
        <f t="shared" si="14"/>
        <v>0</v>
      </c>
    </row>
    <row r="98" spans="1:75" x14ac:dyDescent="0.25">
      <c r="A98">
        <v>1010474</v>
      </c>
      <c r="B98">
        <v>10429</v>
      </c>
      <c r="C98" t="s">
        <v>44</v>
      </c>
      <c r="D98" t="str">
        <f t="shared" si="12"/>
        <v>SCRUB</v>
      </c>
      <c r="E98">
        <v>0</v>
      </c>
      <c r="F98">
        <v>0</v>
      </c>
      <c r="G98">
        <v>0</v>
      </c>
      <c r="H98">
        <v>100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tr">
        <f t="shared" si="13"/>
        <v>NotLake</v>
      </c>
      <c r="AA98">
        <v>42</v>
      </c>
      <c r="AB98">
        <v>1544781.51786</v>
      </c>
      <c r="AC98">
        <v>1584.6052810000001</v>
      </c>
      <c r="AD98">
        <v>40187.888548000003</v>
      </c>
      <c r="AE98">
        <v>4.0188000000000001E-2</v>
      </c>
      <c r="AG98">
        <v>10429</v>
      </c>
      <c r="AH98">
        <v>1010474</v>
      </c>
      <c r="AI98" s="10">
        <v>0</v>
      </c>
      <c r="AJ98" s="10">
        <v>0</v>
      </c>
      <c r="AK98" s="10">
        <v>0</v>
      </c>
      <c r="AL98" s="10">
        <v>2.4618376326482522E-2</v>
      </c>
      <c r="AM98" s="10">
        <v>0</v>
      </c>
      <c r="AN98" s="10">
        <v>0</v>
      </c>
      <c r="AO98" s="10">
        <v>0</v>
      </c>
      <c r="AP98" s="10">
        <v>4.594308189963496E-2</v>
      </c>
      <c r="AQ98" s="10">
        <v>4.9060675914579473E-2</v>
      </c>
      <c r="AR98" s="10">
        <v>0.52896429979395143</v>
      </c>
      <c r="AS98" s="10">
        <v>8.4805548488750174E-2</v>
      </c>
      <c r="AT98" s="10">
        <v>0</v>
      </c>
      <c r="AU98" s="10">
        <v>0</v>
      </c>
      <c r="AV98" s="10">
        <v>0</v>
      </c>
      <c r="AW98" s="10">
        <v>0.26660801757660152</v>
      </c>
      <c r="AX98" s="10">
        <v>1</v>
      </c>
      <c r="AY98" s="10">
        <f t="shared" si="8"/>
        <v>0.26660801757660152</v>
      </c>
      <c r="AZ98" s="10">
        <f t="shared" si="9"/>
        <v>0.73339198242339854</v>
      </c>
      <c r="BA98" s="10"/>
      <c r="BC98">
        <v>10429</v>
      </c>
      <c r="BD98">
        <v>1010474</v>
      </c>
      <c r="BE98" s="10">
        <v>0</v>
      </c>
      <c r="BF98" s="10">
        <v>0</v>
      </c>
      <c r="BG98" s="10">
        <v>0</v>
      </c>
      <c r="BH98" s="10">
        <v>2.4618376326482522E-2</v>
      </c>
      <c r="BI98" s="10">
        <v>0</v>
      </c>
      <c r="BJ98" s="10">
        <v>0</v>
      </c>
      <c r="BK98" s="10">
        <v>0</v>
      </c>
      <c r="BL98" s="10">
        <v>4.594308189963496E-2</v>
      </c>
      <c r="BM98" s="10">
        <v>4.9060675914579473E-2</v>
      </c>
      <c r="BN98" s="10">
        <v>0.52394611274996261</v>
      </c>
      <c r="BO98" s="10">
        <v>6.9969141256916029E-2</v>
      </c>
      <c r="BP98" s="10">
        <v>0</v>
      </c>
      <c r="BQ98" s="10">
        <v>0</v>
      </c>
      <c r="BR98" s="10">
        <v>0</v>
      </c>
      <c r="BS98" s="10">
        <v>0.28646261185242439</v>
      </c>
      <c r="BT98" s="10">
        <v>1</v>
      </c>
      <c r="BU98" s="10">
        <f t="shared" si="10"/>
        <v>0.28646261185242439</v>
      </c>
      <c r="BV98" s="10">
        <f t="shared" si="11"/>
        <v>0.71353738814757561</v>
      </c>
      <c r="BW98" s="11">
        <f t="shared" si="14"/>
        <v>1.9854594275822868E-2</v>
      </c>
    </row>
    <row r="99" spans="1:75" x14ac:dyDescent="0.25">
      <c r="A99">
        <v>1010474</v>
      </c>
      <c r="B99">
        <v>10429</v>
      </c>
      <c r="C99" t="s">
        <v>44</v>
      </c>
      <c r="D99" t="str">
        <f t="shared" si="12"/>
        <v>WATER</v>
      </c>
      <c r="E99">
        <v>0</v>
      </c>
      <c r="F99">
        <v>0</v>
      </c>
      <c r="G99">
        <v>0</v>
      </c>
      <c r="H99">
        <v>100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25</v>
      </c>
      <c r="Z99" t="str">
        <f t="shared" si="13"/>
        <v>Lake</v>
      </c>
      <c r="AA99">
        <v>42</v>
      </c>
      <c r="AB99">
        <v>1544781.51786</v>
      </c>
      <c r="AC99">
        <v>964.45360200000005</v>
      </c>
      <c r="AD99">
        <v>22919.50333</v>
      </c>
      <c r="AE99">
        <v>2.2918999999999998E-2</v>
      </c>
      <c r="AG99">
        <v>10449</v>
      </c>
      <c r="AH99">
        <v>1010660</v>
      </c>
      <c r="AI99" s="10">
        <v>0</v>
      </c>
      <c r="AJ99" s="10">
        <v>0</v>
      </c>
      <c r="AK99" s="10">
        <v>0</v>
      </c>
      <c r="AL99" s="10">
        <v>6.0475742507727456E-2</v>
      </c>
      <c r="AM99" s="10">
        <v>0</v>
      </c>
      <c r="AN99" s="10">
        <v>0</v>
      </c>
      <c r="AO99" s="10">
        <v>0</v>
      </c>
      <c r="AP99" s="10">
        <v>0.22903069363047276</v>
      </c>
      <c r="AQ99" s="10">
        <v>0</v>
      </c>
      <c r="AR99" s="10">
        <v>0.57154348507778097</v>
      </c>
      <c r="AS99" s="10">
        <v>0.13895007878401883</v>
      </c>
      <c r="AT99" s="10">
        <v>0</v>
      </c>
      <c r="AU99" s="10">
        <v>0</v>
      </c>
      <c r="AV99" s="10">
        <v>0</v>
      </c>
      <c r="AW99" s="10">
        <v>0</v>
      </c>
      <c r="AX99" s="10">
        <v>1</v>
      </c>
      <c r="AY99" s="10">
        <f t="shared" si="8"/>
        <v>0</v>
      </c>
      <c r="AZ99" s="10">
        <f t="shared" si="9"/>
        <v>1</v>
      </c>
      <c r="BA99" s="10"/>
      <c r="BC99">
        <v>10449</v>
      </c>
      <c r="BD99">
        <v>1010660</v>
      </c>
      <c r="BE99" s="10">
        <v>0</v>
      </c>
      <c r="BF99" s="10">
        <v>0</v>
      </c>
      <c r="BG99" s="10">
        <v>0</v>
      </c>
      <c r="BH99" s="10">
        <v>6.0475742507727456E-2</v>
      </c>
      <c r="BI99" s="10">
        <v>0</v>
      </c>
      <c r="BJ99" s="10">
        <v>0</v>
      </c>
      <c r="BK99" s="10">
        <v>0</v>
      </c>
      <c r="BL99" s="10">
        <v>0.22903069363047276</v>
      </c>
      <c r="BM99" s="10">
        <v>0</v>
      </c>
      <c r="BN99" s="10">
        <v>0.57154348507778097</v>
      </c>
      <c r="BO99" s="10">
        <v>0.13895007878401883</v>
      </c>
      <c r="BP99" s="10">
        <v>0</v>
      </c>
      <c r="BQ99" s="10">
        <v>0</v>
      </c>
      <c r="BR99" s="10">
        <v>0</v>
      </c>
      <c r="BS99" s="10">
        <v>0</v>
      </c>
      <c r="BT99" s="10">
        <v>1</v>
      </c>
      <c r="BU99" s="10">
        <f t="shared" si="10"/>
        <v>0</v>
      </c>
      <c r="BV99" s="10">
        <f t="shared" si="11"/>
        <v>1</v>
      </c>
      <c r="BW99" s="11">
        <f t="shared" si="14"/>
        <v>0</v>
      </c>
    </row>
    <row r="100" spans="1:75" x14ac:dyDescent="0.25">
      <c r="A100">
        <v>1010490</v>
      </c>
      <c r="B100">
        <v>10696</v>
      </c>
      <c r="C100" t="s">
        <v>44</v>
      </c>
      <c r="D100" t="str">
        <f t="shared" si="12"/>
        <v>SCRUB</v>
      </c>
      <c r="E100">
        <v>0</v>
      </c>
      <c r="F100">
        <v>0</v>
      </c>
      <c r="G100">
        <v>0</v>
      </c>
      <c r="H100">
        <v>100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f t="shared" si="13"/>
        <v>NotLake</v>
      </c>
      <c r="AA100">
        <v>43</v>
      </c>
      <c r="AB100">
        <v>1010666.12703</v>
      </c>
      <c r="AC100">
        <v>1095.8957129999999</v>
      </c>
      <c r="AD100">
        <v>36683.058634000001</v>
      </c>
      <c r="AE100">
        <v>3.6683E-2</v>
      </c>
      <c r="AG100">
        <v>10614</v>
      </c>
      <c r="AH100">
        <v>1010848</v>
      </c>
      <c r="AI100" s="10">
        <v>0</v>
      </c>
      <c r="AJ100" s="10">
        <v>0</v>
      </c>
      <c r="AK100" s="10">
        <v>0</v>
      </c>
      <c r="AL100" s="10">
        <v>7.5592562713687528E-2</v>
      </c>
      <c r="AM100" s="10">
        <v>0</v>
      </c>
      <c r="AN100" s="10">
        <v>0</v>
      </c>
      <c r="AO100" s="10">
        <v>0</v>
      </c>
      <c r="AP100" s="10">
        <v>0.51064884176558722</v>
      </c>
      <c r="AQ100" s="10">
        <v>0</v>
      </c>
      <c r="AR100" s="10">
        <v>0.14205946755791171</v>
      </c>
      <c r="AS100" s="10">
        <v>0.27169912796281359</v>
      </c>
      <c r="AT100" s="10">
        <v>0</v>
      </c>
      <c r="AU100" s="10">
        <v>0</v>
      </c>
      <c r="AV100" s="10">
        <v>0</v>
      </c>
      <c r="AW100" s="10">
        <v>0</v>
      </c>
      <c r="AX100" s="10">
        <v>1</v>
      </c>
      <c r="AY100" s="10">
        <f t="shared" si="8"/>
        <v>0</v>
      </c>
      <c r="AZ100" s="10">
        <f t="shared" si="9"/>
        <v>1</v>
      </c>
      <c r="BA100" s="10"/>
      <c r="BC100">
        <v>10614</v>
      </c>
      <c r="BD100">
        <v>1010848</v>
      </c>
      <c r="BE100" s="10">
        <v>0</v>
      </c>
      <c r="BF100" s="10">
        <v>0</v>
      </c>
      <c r="BG100" s="10">
        <v>0</v>
      </c>
      <c r="BH100" s="10">
        <v>7.5592562713687528E-2</v>
      </c>
      <c r="BI100" s="10">
        <v>0</v>
      </c>
      <c r="BJ100" s="10">
        <v>0</v>
      </c>
      <c r="BK100" s="10">
        <v>0</v>
      </c>
      <c r="BL100" s="10">
        <v>0.51064884176558722</v>
      </c>
      <c r="BM100" s="10">
        <v>0</v>
      </c>
      <c r="BN100" s="10">
        <v>0.14205946755791171</v>
      </c>
      <c r="BO100" s="10">
        <v>0.27169912796281359</v>
      </c>
      <c r="BP100" s="10">
        <v>0</v>
      </c>
      <c r="BQ100" s="10">
        <v>0</v>
      </c>
      <c r="BR100" s="10">
        <v>0</v>
      </c>
      <c r="BS100" s="10">
        <v>0</v>
      </c>
      <c r="BT100" s="10">
        <v>1</v>
      </c>
      <c r="BU100" s="10">
        <f t="shared" si="10"/>
        <v>0</v>
      </c>
      <c r="BV100" s="10">
        <f t="shared" si="11"/>
        <v>1</v>
      </c>
      <c r="BW100" s="11">
        <f t="shared" si="14"/>
        <v>0</v>
      </c>
    </row>
    <row r="101" spans="1:75" x14ac:dyDescent="0.25">
      <c r="A101">
        <v>1010490</v>
      </c>
      <c r="B101">
        <v>10696</v>
      </c>
      <c r="C101" t="s">
        <v>44</v>
      </c>
      <c r="D101" t="str">
        <f t="shared" si="12"/>
        <v>WATER</v>
      </c>
      <c r="E101">
        <v>0</v>
      </c>
      <c r="F101">
        <v>0</v>
      </c>
      <c r="G101">
        <v>0</v>
      </c>
      <c r="H101">
        <v>100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25</v>
      </c>
      <c r="Z101" t="str">
        <f t="shared" si="13"/>
        <v>Lake</v>
      </c>
      <c r="AA101">
        <v>43</v>
      </c>
      <c r="AB101">
        <v>1010666.12703</v>
      </c>
      <c r="AC101">
        <v>645.72036400000002</v>
      </c>
      <c r="AD101">
        <v>14435.943069999999</v>
      </c>
      <c r="AE101">
        <v>1.4435999999999999E-2</v>
      </c>
      <c r="AG101">
        <v>10694</v>
      </c>
      <c r="AH101">
        <v>1010847</v>
      </c>
      <c r="AI101" s="10">
        <v>0</v>
      </c>
      <c r="AJ101" s="10">
        <v>0</v>
      </c>
      <c r="AK101" s="10">
        <v>0</v>
      </c>
      <c r="AL101" s="10">
        <v>5.2184402790969836E-2</v>
      </c>
      <c r="AM101" s="10">
        <v>0</v>
      </c>
      <c r="AN101" s="10">
        <v>0</v>
      </c>
      <c r="AO101" s="10">
        <v>0</v>
      </c>
      <c r="AP101" s="10">
        <v>0.78876959269634772</v>
      </c>
      <c r="AQ101" s="10">
        <v>3.9227473659320534E-2</v>
      </c>
      <c r="AR101" s="10">
        <v>8.0641153579486938E-2</v>
      </c>
      <c r="AS101" s="10">
        <v>3.9177377273874936E-2</v>
      </c>
      <c r="AT101" s="10">
        <v>0</v>
      </c>
      <c r="AU101" s="10">
        <v>0</v>
      </c>
      <c r="AV101" s="10">
        <v>0</v>
      </c>
      <c r="AW101" s="10">
        <v>0</v>
      </c>
      <c r="AX101" s="10">
        <v>1</v>
      </c>
      <c r="AY101" s="10">
        <f t="shared" si="8"/>
        <v>0</v>
      </c>
      <c r="AZ101" s="10">
        <f t="shared" si="9"/>
        <v>1</v>
      </c>
      <c r="BA101" s="10"/>
      <c r="BC101">
        <v>10694</v>
      </c>
      <c r="BD101">
        <v>1010847</v>
      </c>
      <c r="BE101" s="10">
        <v>0</v>
      </c>
      <c r="BF101" s="10">
        <v>0</v>
      </c>
      <c r="BG101" s="10">
        <v>0</v>
      </c>
      <c r="BH101" s="10">
        <v>5.2184402790969836E-2</v>
      </c>
      <c r="BI101" s="10">
        <v>0</v>
      </c>
      <c r="BJ101" s="10">
        <v>0</v>
      </c>
      <c r="BK101" s="10">
        <v>0</v>
      </c>
      <c r="BL101" s="10">
        <v>0.78876959269634772</v>
      </c>
      <c r="BM101" s="10">
        <v>3.9227473659320534E-2</v>
      </c>
      <c r="BN101" s="10">
        <v>8.0641153579486938E-2</v>
      </c>
      <c r="BO101" s="10">
        <v>3.9177377273874936E-2</v>
      </c>
      <c r="BP101" s="10">
        <v>0</v>
      </c>
      <c r="BQ101" s="10">
        <v>0</v>
      </c>
      <c r="BR101" s="10">
        <v>0</v>
      </c>
      <c r="BS101" s="10">
        <v>0</v>
      </c>
      <c r="BT101" s="10">
        <v>1</v>
      </c>
      <c r="BU101" s="10">
        <f t="shared" si="10"/>
        <v>0</v>
      </c>
      <c r="BV101" s="10">
        <f t="shared" si="11"/>
        <v>1</v>
      </c>
      <c r="BW101" s="11">
        <f t="shared" si="14"/>
        <v>0</v>
      </c>
    </row>
    <row r="102" spans="1:75" x14ac:dyDescent="0.25">
      <c r="A102">
        <v>1010660</v>
      </c>
      <c r="B102">
        <v>10449</v>
      </c>
      <c r="C102" t="s">
        <v>44</v>
      </c>
      <c r="D102" t="str">
        <f t="shared" si="12"/>
        <v>SCRUB</v>
      </c>
      <c r="E102">
        <v>0</v>
      </c>
      <c r="F102">
        <v>0</v>
      </c>
      <c r="G102">
        <v>0</v>
      </c>
      <c r="H102">
        <v>100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tr">
        <f t="shared" si="13"/>
        <v>NotLake</v>
      </c>
      <c r="AA102">
        <v>46</v>
      </c>
      <c r="AB102">
        <v>513427.38872300001</v>
      </c>
      <c r="AC102">
        <v>925.33116900000005</v>
      </c>
      <c r="AD102">
        <v>27317.764346</v>
      </c>
      <c r="AE102">
        <v>2.7317999999999999E-2</v>
      </c>
      <c r="AG102">
        <v>10695</v>
      </c>
      <c r="AH102">
        <v>1010665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0.35689429166724151</v>
      </c>
      <c r="AQ102" s="10">
        <v>0</v>
      </c>
      <c r="AR102" s="10">
        <v>0.24408538352213929</v>
      </c>
      <c r="AS102" s="10">
        <v>0.39902032481061916</v>
      </c>
      <c r="AT102" s="10">
        <v>0</v>
      </c>
      <c r="AU102" s="10">
        <v>0</v>
      </c>
      <c r="AV102" s="10">
        <v>0</v>
      </c>
      <c r="AW102" s="10">
        <v>0</v>
      </c>
      <c r="AX102" s="10">
        <v>1</v>
      </c>
      <c r="AY102" s="10">
        <f t="shared" si="8"/>
        <v>0</v>
      </c>
      <c r="AZ102" s="10">
        <f t="shared" si="9"/>
        <v>1</v>
      </c>
      <c r="BA102" s="10"/>
      <c r="BC102">
        <v>10695</v>
      </c>
      <c r="BD102">
        <v>1010665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0.35689429166724151</v>
      </c>
      <c r="BM102" s="10">
        <v>0</v>
      </c>
      <c r="BN102" s="10">
        <v>0.24408538352213929</v>
      </c>
      <c r="BO102" s="10">
        <v>0.39902032481061916</v>
      </c>
      <c r="BP102" s="10">
        <v>0</v>
      </c>
      <c r="BQ102" s="10">
        <v>0</v>
      </c>
      <c r="BR102" s="10">
        <v>0</v>
      </c>
      <c r="BS102" s="10">
        <v>0</v>
      </c>
      <c r="BT102" s="10">
        <v>1</v>
      </c>
      <c r="BU102" s="10">
        <f t="shared" si="10"/>
        <v>0</v>
      </c>
      <c r="BV102" s="10">
        <f t="shared" si="11"/>
        <v>1</v>
      </c>
      <c r="BW102" s="11">
        <f t="shared" si="14"/>
        <v>0</v>
      </c>
    </row>
    <row r="103" spans="1:75" x14ac:dyDescent="0.25">
      <c r="A103">
        <v>1010665</v>
      </c>
      <c r="B103">
        <v>10695</v>
      </c>
      <c r="C103" t="s">
        <v>44</v>
      </c>
      <c r="D103" t="str">
        <f t="shared" si="12"/>
        <v>SCRUB</v>
      </c>
      <c r="E103">
        <v>0</v>
      </c>
      <c r="F103">
        <v>0</v>
      </c>
      <c r="G103">
        <v>0</v>
      </c>
      <c r="H103">
        <v>100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tr">
        <f t="shared" si="13"/>
        <v>NotLake</v>
      </c>
      <c r="AA103">
        <v>47</v>
      </c>
      <c r="AB103">
        <v>362365.16101899999</v>
      </c>
      <c r="AC103">
        <v>2590.38771</v>
      </c>
      <c r="AD103">
        <v>77575.854107000006</v>
      </c>
      <c r="AE103">
        <v>7.7576000000000006E-2</v>
      </c>
      <c r="AG103">
        <v>10696</v>
      </c>
      <c r="AH103">
        <v>1010490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1.1599270580715507E-2</v>
      </c>
      <c r="AO103" s="10">
        <v>0</v>
      </c>
      <c r="AP103" s="10">
        <v>5.3297475825370769E-2</v>
      </c>
      <c r="AQ103" s="10">
        <v>0</v>
      </c>
      <c r="AR103" s="10">
        <v>0.62940513542046983</v>
      </c>
      <c r="AS103" s="10">
        <v>0.13220378225468923</v>
      </c>
      <c r="AT103" s="10">
        <v>0</v>
      </c>
      <c r="AU103" s="10">
        <v>0</v>
      </c>
      <c r="AV103" s="10">
        <v>0</v>
      </c>
      <c r="AW103" s="10">
        <v>0.17349433591875463</v>
      </c>
      <c r="AX103" s="10">
        <v>1</v>
      </c>
      <c r="AY103" s="10">
        <f t="shared" si="8"/>
        <v>0.17349433591875463</v>
      </c>
      <c r="AZ103" s="10">
        <f t="shared" si="9"/>
        <v>0.82650566408124537</v>
      </c>
      <c r="BA103" s="10"/>
      <c r="BC103">
        <v>10696</v>
      </c>
      <c r="BD103">
        <v>1010490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1.1285616330601473E-2</v>
      </c>
      <c r="BK103" s="10">
        <v>0</v>
      </c>
      <c r="BL103" s="10">
        <v>5.3297475825370769E-2</v>
      </c>
      <c r="BM103" s="10">
        <v>0</v>
      </c>
      <c r="BN103" s="10">
        <v>0.60740481286120951</v>
      </c>
      <c r="BO103" s="10">
        <v>5.8752289329719883E-2</v>
      </c>
      <c r="BP103" s="10">
        <v>0</v>
      </c>
      <c r="BQ103" s="10">
        <v>0</v>
      </c>
      <c r="BR103" s="10">
        <v>0</v>
      </c>
      <c r="BS103" s="10">
        <v>0.26925980565309837</v>
      </c>
      <c r="BT103" s="10">
        <v>1</v>
      </c>
      <c r="BU103" s="10">
        <f t="shared" si="10"/>
        <v>0.26925980565309837</v>
      </c>
      <c r="BV103" s="10">
        <f t="shared" si="11"/>
        <v>0.73074019434690163</v>
      </c>
      <c r="BW103" s="11">
        <f t="shared" si="14"/>
        <v>9.5765469734343744E-2</v>
      </c>
    </row>
    <row r="104" spans="1:75" x14ac:dyDescent="0.25">
      <c r="A104">
        <v>1010848</v>
      </c>
      <c r="B104">
        <v>10614</v>
      </c>
      <c r="C104" t="s">
        <v>44</v>
      </c>
      <c r="D104" t="str">
        <f t="shared" si="12"/>
        <v>SCRUB</v>
      </c>
      <c r="E104">
        <v>0</v>
      </c>
      <c r="F104">
        <v>0</v>
      </c>
      <c r="G104">
        <v>0</v>
      </c>
      <c r="H104">
        <v>100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tr">
        <f t="shared" si="13"/>
        <v>NotLake</v>
      </c>
      <c r="AA104">
        <v>49</v>
      </c>
      <c r="AB104">
        <v>520619.811216</v>
      </c>
      <c r="AC104">
        <v>462.689098</v>
      </c>
      <c r="AD104">
        <v>6789.5913860000001</v>
      </c>
      <c r="AE104">
        <v>6.79E-3</v>
      </c>
      <c r="AG104">
        <v>10697</v>
      </c>
      <c r="AH104">
        <v>1010424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1.1930868838763575E-2</v>
      </c>
      <c r="AO104" s="10">
        <v>0</v>
      </c>
      <c r="AP104" s="10">
        <v>0</v>
      </c>
      <c r="AQ104" s="10">
        <v>0</v>
      </c>
      <c r="AR104" s="10">
        <v>0.46182644110275689</v>
      </c>
      <c r="AS104" s="10">
        <v>1.611842105263158E-2</v>
      </c>
      <c r="AT104" s="10">
        <v>0</v>
      </c>
      <c r="AU104" s="10">
        <v>0</v>
      </c>
      <c r="AV104" s="10">
        <v>0</v>
      </c>
      <c r="AW104" s="10">
        <v>0.51012426900584795</v>
      </c>
      <c r="AX104" s="10">
        <v>1</v>
      </c>
      <c r="AY104" s="10">
        <f t="shared" si="8"/>
        <v>0.51012426900584795</v>
      </c>
      <c r="AZ104" s="10">
        <f t="shared" si="9"/>
        <v>0.48987573099415205</v>
      </c>
      <c r="BA104" s="10"/>
      <c r="BC104">
        <v>10697</v>
      </c>
      <c r="BD104">
        <v>1010424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0.39807330827067666</v>
      </c>
      <c r="BO104" s="10">
        <v>5.3780284043441931E-4</v>
      </c>
      <c r="BP104" s="10">
        <v>0</v>
      </c>
      <c r="BQ104" s="10">
        <v>0</v>
      </c>
      <c r="BR104" s="10">
        <v>0</v>
      </c>
      <c r="BS104" s="10">
        <v>0.60138888888888886</v>
      </c>
      <c r="BT104" s="10">
        <v>1</v>
      </c>
      <c r="BU104" s="10">
        <f t="shared" si="10"/>
        <v>0.60138888888888886</v>
      </c>
      <c r="BV104" s="10">
        <f t="shared" si="11"/>
        <v>0.39861111111111114</v>
      </c>
      <c r="BW104" s="11">
        <f t="shared" si="14"/>
        <v>9.1264619883040909E-2</v>
      </c>
    </row>
    <row r="105" spans="1:75" x14ac:dyDescent="0.25">
      <c r="A105">
        <v>1009840</v>
      </c>
      <c r="B105">
        <v>10134</v>
      </c>
      <c r="C105" t="s">
        <v>46</v>
      </c>
      <c r="D105" t="str">
        <f t="shared" si="12"/>
        <v>WATER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tr">
        <f t="shared" si="13"/>
        <v>NotLake</v>
      </c>
      <c r="AA105">
        <v>10</v>
      </c>
      <c r="AB105">
        <v>2209249.6887300001</v>
      </c>
      <c r="AC105">
        <v>571.27685399999996</v>
      </c>
      <c r="AD105">
        <v>2849.5571639999998</v>
      </c>
      <c r="AE105">
        <v>2.8500000000000001E-3</v>
      </c>
      <c r="AG105">
        <v>10698</v>
      </c>
      <c r="AH105">
        <v>1010371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2.0138565352650325E-3</v>
      </c>
      <c r="AS105" s="10">
        <v>0.11515051323284088</v>
      </c>
      <c r="AT105" s="10">
        <v>0</v>
      </c>
      <c r="AU105" s="10">
        <v>0</v>
      </c>
      <c r="AV105" s="10">
        <v>0</v>
      </c>
      <c r="AW105" s="10">
        <v>0.88283563023189404</v>
      </c>
      <c r="AX105" s="10">
        <v>1</v>
      </c>
      <c r="AY105" s="10">
        <f t="shared" si="8"/>
        <v>0.88283563023189404</v>
      </c>
      <c r="AZ105" s="10">
        <f t="shared" si="9"/>
        <v>0.11716436976810596</v>
      </c>
      <c r="BA105" s="10"/>
      <c r="BC105">
        <v>10698</v>
      </c>
      <c r="BD105">
        <v>1010371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7.3610964997971109E-2</v>
      </c>
      <c r="BP105" s="10">
        <v>0</v>
      </c>
      <c r="BQ105" s="10">
        <v>0</v>
      </c>
      <c r="BR105" s="10">
        <v>0</v>
      </c>
      <c r="BS105" s="10">
        <v>0.92638903500202885</v>
      </c>
      <c r="BT105" s="10">
        <v>1</v>
      </c>
      <c r="BU105" s="10">
        <f t="shared" si="10"/>
        <v>0.92638903500202885</v>
      </c>
      <c r="BV105" s="10">
        <f t="shared" si="11"/>
        <v>7.3610964997971151E-2</v>
      </c>
      <c r="BW105" s="11">
        <f t="shared" si="14"/>
        <v>4.3553404770134807E-2</v>
      </c>
    </row>
    <row r="106" spans="1:75" x14ac:dyDescent="0.25">
      <c r="A106">
        <v>1009840</v>
      </c>
      <c r="B106">
        <v>10134</v>
      </c>
      <c r="C106" t="s">
        <v>46</v>
      </c>
      <c r="D106" t="str">
        <f t="shared" si="12"/>
        <v>WATER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25</v>
      </c>
      <c r="Z106" t="str">
        <f t="shared" si="13"/>
        <v>Lake</v>
      </c>
      <c r="AA106">
        <v>10</v>
      </c>
      <c r="AB106">
        <v>2209249.6887300001</v>
      </c>
      <c r="AC106">
        <v>2107.386207</v>
      </c>
      <c r="AD106">
        <v>62476.890549999996</v>
      </c>
      <c r="AE106">
        <v>6.2476999999999998E-2</v>
      </c>
      <c r="AG106">
        <v>10699</v>
      </c>
      <c r="AH106">
        <v>1010360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1</v>
      </c>
      <c r="AX106" s="10">
        <v>1</v>
      </c>
      <c r="AY106" s="10">
        <f t="shared" si="8"/>
        <v>1</v>
      </c>
      <c r="AZ106" s="10">
        <f t="shared" si="9"/>
        <v>0</v>
      </c>
      <c r="BA106" s="10"/>
      <c r="BC106">
        <v>10699</v>
      </c>
      <c r="BD106">
        <v>1010360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1</v>
      </c>
      <c r="BT106" s="10">
        <v>1</v>
      </c>
      <c r="BU106" s="10">
        <f t="shared" si="10"/>
        <v>1</v>
      </c>
      <c r="BV106" s="10">
        <f t="shared" si="11"/>
        <v>0</v>
      </c>
      <c r="BW106" s="11">
        <f t="shared" si="14"/>
        <v>0</v>
      </c>
    </row>
    <row r="107" spans="1:75" x14ac:dyDescent="0.25">
      <c r="A107">
        <v>1010359</v>
      </c>
      <c r="B107">
        <v>10700</v>
      </c>
      <c r="C107" t="s">
        <v>46</v>
      </c>
      <c r="D107" t="str">
        <f t="shared" si="12"/>
        <v>WATER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100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tr">
        <f t="shared" si="13"/>
        <v>NotLake</v>
      </c>
      <c r="AA107">
        <v>28</v>
      </c>
      <c r="AB107">
        <v>311110.45064200001</v>
      </c>
      <c r="AC107">
        <v>115.588705</v>
      </c>
      <c r="AD107">
        <v>254.80847399999999</v>
      </c>
      <c r="AE107">
        <v>2.5500000000000002E-4</v>
      </c>
      <c r="AG107">
        <v>10700</v>
      </c>
      <c r="AH107">
        <v>1010359</v>
      </c>
      <c r="AI107" s="10">
        <v>0</v>
      </c>
      <c r="AJ107" s="10">
        <v>0</v>
      </c>
      <c r="AK107" s="10">
        <v>0</v>
      </c>
      <c r="AL107" s="10">
        <v>4.4713944540694481E-2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9.0880746743123852E-2</v>
      </c>
      <c r="AS107" s="10">
        <v>0.68823988865710317</v>
      </c>
      <c r="AT107" s="10">
        <v>0</v>
      </c>
      <c r="AU107" s="10">
        <v>0</v>
      </c>
      <c r="AV107" s="10">
        <v>0</v>
      </c>
      <c r="AW107" s="10">
        <v>0.17616542005907859</v>
      </c>
      <c r="AX107" s="10">
        <v>1</v>
      </c>
      <c r="AY107" s="10">
        <f t="shared" si="8"/>
        <v>0.17616542005907859</v>
      </c>
      <c r="AZ107" s="10">
        <f t="shared" si="9"/>
        <v>0.82383457994092146</v>
      </c>
      <c r="BA107" s="10"/>
      <c r="BC107">
        <v>10700</v>
      </c>
      <c r="BD107">
        <v>1010359</v>
      </c>
      <c r="BE107" s="10">
        <v>0</v>
      </c>
      <c r="BF107" s="10">
        <v>0</v>
      </c>
      <c r="BG107" s="10">
        <v>0</v>
      </c>
      <c r="BH107" s="10">
        <v>4.4713944540694474E-2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9.0880746743123825E-2</v>
      </c>
      <c r="BO107" s="10">
        <v>0.65556666270237951</v>
      </c>
      <c r="BP107" s="10">
        <v>0</v>
      </c>
      <c r="BQ107" s="10">
        <v>0</v>
      </c>
      <c r="BR107" s="10">
        <v>0</v>
      </c>
      <c r="BS107" s="10">
        <v>0.20883864601380214</v>
      </c>
      <c r="BT107" s="10">
        <v>1</v>
      </c>
      <c r="BU107" s="10">
        <f t="shared" si="10"/>
        <v>0.20883864601380214</v>
      </c>
      <c r="BV107" s="10">
        <f t="shared" si="11"/>
        <v>0.79116135398619791</v>
      </c>
      <c r="BW107" s="11">
        <f t="shared" si="14"/>
        <v>3.267322595472355E-2</v>
      </c>
    </row>
    <row r="108" spans="1:75" x14ac:dyDescent="0.25">
      <c r="A108">
        <v>1010359</v>
      </c>
      <c r="B108">
        <v>10700</v>
      </c>
      <c r="C108" t="s">
        <v>46</v>
      </c>
      <c r="D108" t="str">
        <f t="shared" si="12"/>
        <v>WATER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25</v>
      </c>
      <c r="Z108" t="str">
        <f t="shared" si="13"/>
        <v>Lake</v>
      </c>
      <c r="AA108">
        <v>28</v>
      </c>
      <c r="AB108">
        <v>311110.45064200001</v>
      </c>
      <c r="AC108">
        <v>992.68733799999995</v>
      </c>
      <c r="AD108">
        <v>34771.708737000001</v>
      </c>
      <c r="AE108">
        <v>3.4771999999999997E-2</v>
      </c>
      <c r="AG108">
        <v>10701</v>
      </c>
      <c r="AH108">
        <v>1010422</v>
      </c>
      <c r="AI108" s="10">
        <v>0</v>
      </c>
      <c r="AJ108" s="10">
        <v>0</v>
      </c>
      <c r="AK108" s="10">
        <v>0</v>
      </c>
      <c r="AL108" s="10">
        <v>1.9285659183830903E-4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0.6498045719869372</v>
      </c>
      <c r="AS108" s="10">
        <v>0.35000257142122454</v>
      </c>
      <c r="AT108" s="10">
        <v>0</v>
      </c>
      <c r="AU108" s="10">
        <v>0</v>
      </c>
      <c r="AV108" s="10">
        <v>0</v>
      </c>
      <c r="AW108" s="10">
        <v>0</v>
      </c>
      <c r="AX108" s="10">
        <v>1</v>
      </c>
      <c r="AY108" s="10">
        <f t="shared" si="8"/>
        <v>0</v>
      </c>
      <c r="AZ108" s="10">
        <f t="shared" si="9"/>
        <v>1</v>
      </c>
      <c r="BA108" s="10"/>
      <c r="BC108">
        <v>10701</v>
      </c>
      <c r="BD108">
        <v>1010422</v>
      </c>
      <c r="BE108" s="10">
        <v>0</v>
      </c>
      <c r="BF108" s="10">
        <v>0</v>
      </c>
      <c r="BG108" s="10">
        <v>0</v>
      </c>
      <c r="BH108" s="10">
        <v>1.9285659183830903E-4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0.6498045719869372</v>
      </c>
      <c r="BO108" s="10">
        <v>0.35000257142122454</v>
      </c>
      <c r="BP108" s="10">
        <v>0</v>
      </c>
      <c r="BQ108" s="10">
        <v>0</v>
      </c>
      <c r="BR108" s="10">
        <v>0</v>
      </c>
      <c r="BS108" s="10">
        <v>0</v>
      </c>
      <c r="BT108" s="10">
        <v>1</v>
      </c>
      <c r="BU108" s="10">
        <f t="shared" si="10"/>
        <v>0</v>
      </c>
      <c r="BV108" s="10">
        <f t="shared" si="11"/>
        <v>1</v>
      </c>
      <c r="BW108" s="11">
        <f t="shared" si="14"/>
        <v>0</v>
      </c>
    </row>
    <row r="109" spans="1:75" x14ac:dyDescent="0.25">
      <c r="A109">
        <v>1010371</v>
      </c>
      <c r="B109">
        <v>10698</v>
      </c>
      <c r="C109" t="s">
        <v>46</v>
      </c>
      <c r="D109" t="str">
        <f t="shared" si="12"/>
        <v>WATER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tr">
        <f t="shared" si="13"/>
        <v>NotLake</v>
      </c>
      <c r="AA109">
        <v>32</v>
      </c>
      <c r="AB109">
        <v>66538.247600000002</v>
      </c>
      <c r="AC109">
        <v>54.909052000000003</v>
      </c>
      <c r="AD109">
        <v>66.244888000000003</v>
      </c>
      <c r="AE109">
        <v>6.6000000000000005E-5</v>
      </c>
      <c r="AG109" t="s">
        <v>22</v>
      </c>
      <c r="AI109" s="10">
        <v>1.213954540637128E-4</v>
      </c>
      <c r="AJ109" s="10">
        <v>0.1898812639562753</v>
      </c>
      <c r="AK109" s="10">
        <v>1.9376338148622918E-5</v>
      </c>
      <c r="AL109" s="10">
        <v>3.1541126705839209E-2</v>
      </c>
      <c r="AM109" s="10">
        <v>1.9343357147518878E-3</v>
      </c>
      <c r="AN109" s="10">
        <v>6.2035994576654897E-4</v>
      </c>
      <c r="AO109" s="10">
        <v>1.6464686576155383E-2</v>
      </c>
      <c r="AP109" s="10">
        <v>4.0087836016940312E-2</v>
      </c>
      <c r="AQ109" s="10">
        <v>3.1953135519631207E-2</v>
      </c>
      <c r="AR109" s="10">
        <v>0.22390630402026351</v>
      </c>
      <c r="AS109" s="10">
        <v>3.465047400992461E-2</v>
      </c>
      <c r="AT109" s="10">
        <v>6.166178706412831E-4</v>
      </c>
      <c r="AU109" s="10">
        <v>8.1400916224895672E-3</v>
      </c>
      <c r="AV109" s="10">
        <v>2.1120525707009596E-5</v>
      </c>
      <c r="AW109" s="10">
        <v>0.42004187572340179</v>
      </c>
      <c r="AX109" s="10">
        <v>1</v>
      </c>
      <c r="AY109" s="10">
        <f t="shared" si="8"/>
        <v>0.42004187572340179</v>
      </c>
      <c r="AZ109" s="10">
        <f t="shared" si="9"/>
        <v>0.57995812427659821</v>
      </c>
      <c r="BA109" s="10"/>
      <c r="BC109" t="s">
        <v>22</v>
      </c>
      <c r="BE109" s="10">
        <v>1.213954540637128E-4</v>
      </c>
      <c r="BF109" s="10">
        <v>0.16361243568942629</v>
      </c>
      <c r="BG109" s="10">
        <v>1.9376338148622918E-5</v>
      </c>
      <c r="BH109" s="10">
        <v>3.087177094593253E-2</v>
      </c>
      <c r="BI109" s="10">
        <v>1.9343357147518878E-3</v>
      </c>
      <c r="BJ109" s="10">
        <v>4.1892213902341855E-4</v>
      </c>
      <c r="BK109" s="10">
        <v>1.6464686576155383E-2</v>
      </c>
      <c r="BL109" s="10">
        <v>3.8009810959878418E-2</v>
      </c>
      <c r="BM109" s="10">
        <v>3.1953135519631207E-2</v>
      </c>
      <c r="BN109" s="10">
        <v>0.21804355052400778</v>
      </c>
      <c r="BO109" s="10">
        <v>2.99509667651086E-2</v>
      </c>
      <c r="BP109" s="10">
        <v>3.5346753683232577E-4</v>
      </c>
      <c r="BQ109" s="10">
        <v>8.0854192706594098E-3</v>
      </c>
      <c r="BR109" s="10">
        <v>2.1120525707009596E-5</v>
      </c>
      <c r="BS109" s="10">
        <v>0.46013960604067322</v>
      </c>
      <c r="BT109" s="10">
        <v>1</v>
      </c>
      <c r="BU109" s="10">
        <f t="shared" si="10"/>
        <v>0.46013960604067322</v>
      </c>
      <c r="BV109" s="10">
        <f t="shared" si="11"/>
        <v>0.53986039395932672</v>
      </c>
      <c r="BW109" s="11">
        <f t="shared" si="14"/>
        <v>4.0097730317271429E-2</v>
      </c>
    </row>
    <row r="110" spans="1:75" x14ac:dyDescent="0.25">
      <c r="A110">
        <v>1010371</v>
      </c>
      <c r="B110">
        <v>10698</v>
      </c>
      <c r="C110" t="s">
        <v>46</v>
      </c>
      <c r="D110" t="str">
        <f t="shared" si="12"/>
        <v>WATER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100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25</v>
      </c>
      <c r="Z110" t="str">
        <f t="shared" si="13"/>
        <v>Lake</v>
      </c>
      <c r="AA110">
        <v>32</v>
      </c>
      <c r="AB110">
        <v>66538.247600000002</v>
      </c>
      <c r="AC110">
        <v>657.53469700000005</v>
      </c>
      <c r="AD110">
        <v>9123.7464579999996</v>
      </c>
      <c r="AE110">
        <v>9.1240000000000002E-3</v>
      </c>
    </row>
    <row r="111" spans="1:75" x14ac:dyDescent="0.25">
      <c r="A111">
        <v>1010423</v>
      </c>
      <c r="B111">
        <v>10241</v>
      </c>
      <c r="C111" t="s">
        <v>46</v>
      </c>
      <c r="D111" t="str">
        <f t="shared" si="12"/>
        <v>WATER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100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25</v>
      </c>
      <c r="Z111" t="str">
        <f t="shared" si="13"/>
        <v>Lake</v>
      </c>
      <c r="AA111">
        <v>38</v>
      </c>
      <c r="AB111">
        <v>403724.58460399997</v>
      </c>
      <c r="AC111">
        <v>40.094532999999998</v>
      </c>
      <c r="AD111">
        <v>63.810608999999999</v>
      </c>
      <c r="AE111">
        <v>6.3999999999999997E-5</v>
      </c>
    </row>
    <row r="112" spans="1:75" x14ac:dyDescent="0.25">
      <c r="A112">
        <v>1010660</v>
      </c>
      <c r="B112">
        <v>10449</v>
      </c>
      <c r="C112" t="s">
        <v>44</v>
      </c>
      <c r="D112" t="str">
        <f t="shared" si="12"/>
        <v>SCRUB</v>
      </c>
      <c r="E112">
        <v>0</v>
      </c>
      <c r="F112">
        <v>0</v>
      </c>
      <c r="G112">
        <v>0</v>
      </c>
      <c r="H112">
        <v>100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tr">
        <f t="shared" si="13"/>
        <v>NotLake</v>
      </c>
      <c r="AA112">
        <v>46</v>
      </c>
      <c r="AB112">
        <v>513427.38872300001</v>
      </c>
      <c r="AC112">
        <v>1697.6358540000001</v>
      </c>
      <c r="AD112">
        <v>43960.541355000001</v>
      </c>
      <c r="AE112">
        <v>4.3961E-2</v>
      </c>
    </row>
    <row r="113" spans="1:31" x14ac:dyDescent="0.25">
      <c r="A113">
        <v>1010665</v>
      </c>
      <c r="B113">
        <v>10695</v>
      </c>
      <c r="C113" t="s">
        <v>44</v>
      </c>
      <c r="D113" t="str">
        <f t="shared" si="12"/>
        <v>SCRUB</v>
      </c>
      <c r="E113">
        <v>0</v>
      </c>
      <c r="F113">
        <v>0</v>
      </c>
      <c r="G113">
        <v>0</v>
      </c>
      <c r="H113">
        <v>100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tr">
        <f t="shared" si="13"/>
        <v>NotLake</v>
      </c>
      <c r="AA113">
        <v>47</v>
      </c>
      <c r="AB113">
        <v>362365.16101899999</v>
      </c>
      <c r="AC113">
        <v>856.37724900000001</v>
      </c>
      <c r="AD113">
        <v>21548.346981999999</v>
      </c>
      <c r="AE113">
        <v>2.1548000000000001E-2</v>
      </c>
    </row>
    <row r="114" spans="1:31" x14ac:dyDescent="0.25">
      <c r="A114">
        <v>1010847</v>
      </c>
      <c r="B114">
        <v>10694</v>
      </c>
      <c r="C114" t="s">
        <v>44</v>
      </c>
      <c r="D114" t="str">
        <f t="shared" si="12"/>
        <v>SCRUB</v>
      </c>
      <c r="E114">
        <v>0</v>
      </c>
      <c r="F114">
        <v>0</v>
      </c>
      <c r="G114">
        <v>0</v>
      </c>
      <c r="H114">
        <v>100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tr">
        <f t="shared" si="13"/>
        <v>NotLake</v>
      </c>
      <c r="AA114">
        <v>48</v>
      </c>
      <c r="AB114">
        <v>499037.49365199998</v>
      </c>
      <c r="AC114">
        <v>131.49132700000001</v>
      </c>
      <c r="AD114">
        <v>775.94536800000003</v>
      </c>
      <c r="AE114">
        <v>7.76E-4</v>
      </c>
    </row>
    <row r="115" spans="1:31" x14ac:dyDescent="0.25">
      <c r="A115">
        <v>1010848</v>
      </c>
      <c r="B115">
        <v>10614</v>
      </c>
      <c r="C115" t="s">
        <v>44</v>
      </c>
      <c r="D115" t="str">
        <f t="shared" si="12"/>
        <v>SCRUB</v>
      </c>
      <c r="E115">
        <v>0</v>
      </c>
      <c r="F115">
        <v>0</v>
      </c>
      <c r="G115">
        <v>0</v>
      </c>
      <c r="H115">
        <v>100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tr">
        <f t="shared" si="13"/>
        <v>NotLake</v>
      </c>
      <c r="AA115">
        <v>49</v>
      </c>
      <c r="AB115">
        <v>520619.811216</v>
      </c>
      <c r="AC115">
        <v>2346.950049</v>
      </c>
      <c r="AD115">
        <v>41478.657145999998</v>
      </c>
      <c r="AE115">
        <v>4.1479000000000002E-2</v>
      </c>
    </row>
    <row r="116" spans="1:31" x14ac:dyDescent="0.25">
      <c r="A116">
        <v>1009665</v>
      </c>
      <c r="B116">
        <v>9527</v>
      </c>
      <c r="C116" t="s">
        <v>46</v>
      </c>
      <c r="D116" t="str">
        <f t="shared" si="12"/>
        <v>WATER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25</v>
      </c>
      <c r="Z116" t="str">
        <f t="shared" si="13"/>
        <v>Lake</v>
      </c>
      <c r="AA116">
        <v>1</v>
      </c>
      <c r="AB116">
        <v>460381.55421099998</v>
      </c>
      <c r="AC116">
        <v>352.57001100000002</v>
      </c>
      <c r="AD116">
        <v>1997.6618089999999</v>
      </c>
      <c r="AE116">
        <v>1.9980000000000002E-3</v>
      </c>
    </row>
    <row r="117" spans="1:31" x14ac:dyDescent="0.25">
      <c r="A117">
        <v>1009710</v>
      </c>
      <c r="B117">
        <v>9610</v>
      </c>
      <c r="C117" t="s">
        <v>46</v>
      </c>
      <c r="D117" t="str">
        <f t="shared" si="12"/>
        <v>WATER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tr">
        <f t="shared" si="13"/>
        <v>NotLake</v>
      </c>
      <c r="AA117">
        <v>4</v>
      </c>
      <c r="AB117">
        <v>624933.80375199998</v>
      </c>
      <c r="AC117">
        <v>765.10280899999998</v>
      </c>
      <c r="AD117">
        <v>5672.6200129999997</v>
      </c>
      <c r="AE117">
        <v>5.6730000000000001E-3</v>
      </c>
    </row>
    <row r="118" spans="1:31" x14ac:dyDescent="0.25">
      <c r="A118">
        <v>1009710</v>
      </c>
      <c r="B118">
        <v>9610</v>
      </c>
      <c r="C118" t="s">
        <v>46</v>
      </c>
      <c r="D118" t="str">
        <f t="shared" si="12"/>
        <v>WATER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100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25</v>
      </c>
      <c r="Z118" t="str">
        <f t="shared" si="13"/>
        <v>Lake</v>
      </c>
      <c r="AA118">
        <v>4</v>
      </c>
      <c r="AB118">
        <v>624933.80375199998</v>
      </c>
      <c r="AC118">
        <v>1687.0251370000001</v>
      </c>
      <c r="AD118">
        <v>86571.484576000003</v>
      </c>
      <c r="AE118">
        <v>8.6570999999999995E-2</v>
      </c>
    </row>
    <row r="119" spans="1:31" x14ac:dyDescent="0.25">
      <c r="A119">
        <v>1009804</v>
      </c>
      <c r="B119">
        <v>9676</v>
      </c>
      <c r="C119" t="s">
        <v>46</v>
      </c>
      <c r="D119" t="str">
        <f t="shared" si="12"/>
        <v>WATER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tr">
        <f t="shared" si="13"/>
        <v>NotLake</v>
      </c>
      <c r="AA119">
        <v>7</v>
      </c>
      <c r="AB119">
        <v>235586.04437799999</v>
      </c>
      <c r="AC119">
        <v>143.88051300000001</v>
      </c>
      <c r="AD119">
        <v>287.59343699999999</v>
      </c>
      <c r="AE119">
        <v>2.8800000000000001E-4</v>
      </c>
    </row>
    <row r="120" spans="1:31" x14ac:dyDescent="0.25">
      <c r="A120">
        <v>1009804</v>
      </c>
      <c r="B120">
        <v>9676</v>
      </c>
      <c r="C120" t="s">
        <v>46</v>
      </c>
      <c r="D120" t="str">
        <f t="shared" si="12"/>
        <v>WATER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25</v>
      </c>
      <c r="Z120" t="str">
        <f t="shared" si="13"/>
        <v>Lake</v>
      </c>
      <c r="AA120">
        <v>7</v>
      </c>
      <c r="AB120">
        <v>235586.04437799999</v>
      </c>
      <c r="AC120">
        <v>767.78598099999999</v>
      </c>
      <c r="AD120">
        <v>6408.5261289999999</v>
      </c>
      <c r="AE120">
        <v>6.4089999999999998E-3</v>
      </c>
    </row>
    <row r="121" spans="1:31" x14ac:dyDescent="0.25">
      <c r="A121">
        <v>1010665</v>
      </c>
      <c r="B121">
        <v>10695</v>
      </c>
      <c r="C121" t="s">
        <v>42</v>
      </c>
      <c r="D121" t="str">
        <f t="shared" si="12"/>
        <v>PLANT_FOR</v>
      </c>
      <c r="E121">
        <v>0</v>
      </c>
      <c r="F121">
        <v>0</v>
      </c>
      <c r="G121">
        <v>100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tr">
        <f t="shared" si="13"/>
        <v>NotLake</v>
      </c>
      <c r="AA121">
        <v>47</v>
      </c>
      <c r="AB121">
        <v>362365.16101899999</v>
      </c>
      <c r="AC121">
        <v>1614.2673649999999</v>
      </c>
      <c r="AD121">
        <v>96223.060438</v>
      </c>
      <c r="AE121">
        <v>9.6223000000000003E-2</v>
      </c>
    </row>
    <row r="122" spans="1:31" x14ac:dyDescent="0.25">
      <c r="A122">
        <v>1010423</v>
      </c>
      <c r="B122">
        <v>10241</v>
      </c>
      <c r="C122" t="s">
        <v>44</v>
      </c>
      <c r="D122" t="str">
        <f t="shared" si="12"/>
        <v>SCRUB</v>
      </c>
      <c r="E122">
        <v>0</v>
      </c>
      <c r="F122">
        <v>0</v>
      </c>
      <c r="G122">
        <v>0</v>
      </c>
      <c r="H122">
        <v>100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tr">
        <f t="shared" si="13"/>
        <v>NotLake</v>
      </c>
      <c r="AA122">
        <v>38</v>
      </c>
      <c r="AB122">
        <v>403724.58460399997</v>
      </c>
      <c r="AC122">
        <v>1235.507357</v>
      </c>
      <c r="AD122">
        <v>26228.554198999998</v>
      </c>
      <c r="AE122">
        <v>2.6228999999999999E-2</v>
      </c>
    </row>
    <row r="123" spans="1:31" x14ac:dyDescent="0.25">
      <c r="A123">
        <v>1009698</v>
      </c>
      <c r="B123">
        <v>9480</v>
      </c>
      <c r="C123" t="s">
        <v>43</v>
      </c>
      <c r="D123" t="str">
        <f t="shared" si="12"/>
        <v>NAT_FOR</v>
      </c>
      <c r="E123">
        <v>100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tr">
        <f t="shared" si="13"/>
        <v>NotLake</v>
      </c>
      <c r="AA123">
        <v>2</v>
      </c>
      <c r="AB123">
        <v>2613890.82766</v>
      </c>
      <c r="AC123">
        <v>1213.144059</v>
      </c>
      <c r="AD123">
        <v>19035.549144000001</v>
      </c>
      <c r="AE123">
        <v>1.9036000000000001E-2</v>
      </c>
    </row>
    <row r="124" spans="1:31" x14ac:dyDescent="0.25">
      <c r="A124">
        <v>1009698</v>
      </c>
      <c r="B124">
        <v>9480</v>
      </c>
      <c r="C124" t="s">
        <v>43</v>
      </c>
      <c r="D124" t="str">
        <f t="shared" si="12"/>
        <v>WATER</v>
      </c>
      <c r="E124">
        <v>100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25</v>
      </c>
      <c r="Z124" t="str">
        <f t="shared" si="13"/>
        <v>Lake</v>
      </c>
      <c r="AA124">
        <v>2</v>
      </c>
      <c r="AB124">
        <v>2613890.82766</v>
      </c>
      <c r="AC124">
        <v>1250.43749</v>
      </c>
      <c r="AD124">
        <v>9197.0544690000006</v>
      </c>
      <c r="AE124">
        <v>9.1970000000000003E-3</v>
      </c>
    </row>
    <row r="125" spans="1:31" x14ac:dyDescent="0.25">
      <c r="A125">
        <v>1009728</v>
      </c>
      <c r="B125">
        <v>9526</v>
      </c>
      <c r="C125" t="s">
        <v>43</v>
      </c>
      <c r="D125" t="str">
        <f t="shared" si="12"/>
        <v>NAT_FOR</v>
      </c>
      <c r="E125">
        <v>100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tr">
        <f t="shared" si="13"/>
        <v>NotLake</v>
      </c>
      <c r="AA125">
        <v>5</v>
      </c>
      <c r="AB125">
        <v>318309.81075300003</v>
      </c>
      <c r="AC125">
        <v>142.17074600000001</v>
      </c>
      <c r="AD125">
        <v>874.53042300000004</v>
      </c>
      <c r="AE125">
        <v>8.7500000000000002E-4</v>
      </c>
    </row>
    <row r="126" spans="1:31" x14ac:dyDescent="0.25">
      <c r="A126">
        <v>1009752</v>
      </c>
      <c r="B126">
        <v>9528</v>
      </c>
      <c r="C126" t="s">
        <v>43</v>
      </c>
      <c r="D126" t="str">
        <f t="shared" si="12"/>
        <v>NAT_FOR</v>
      </c>
      <c r="E126">
        <v>100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t="str">
        <f t="shared" si="13"/>
        <v>NotLake</v>
      </c>
      <c r="AA126">
        <v>6</v>
      </c>
      <c r="AB126">
        <v>156457.58610099999</v>
      </c>
      <c r="AC126">
        <v>215.560315</v>
      </c>
      <c r="AD126">
        <v>1496.1110209999999</v>
      </c>
      <c r="AE126">
        <v>1.4959999999999999E-3</v>
      </c>
    </row>
    <row r="127" spans="1:31" x14ac:dyDescent="0.25">
      <c r="A127">
        <v>1009752</v>
      </c>
      <c r="B127">
        <v>9528</v>
      </c>
      <c r="C127" t="s">
        <v>43</v>
      </c>
      <c r="D127" t="str">
        <f t="shared" si="12"/>
        <v>WATER</v>
      </c>
      <c r="E127">
        <v>100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25</v>
      </c>
      <c r="Z127" t="str">
        <f t="shared" si="13"/>
        <v>Lake</v>
      </c>
      <c r="AA127">
        <v>6</v>
      </c>
      <c r="AB127">
        <v>156457.58610099999</v>
      </c>
      <c r="AC127">
        <v>220.761866</v>
      </c>
      <c r="AD127">
        <v>1367.3879669999999</v>
      </c>
      <c r="AE127">
        <v>1.3669999999999999E-3</v>
      </c>
    </row>
    <row r="128" spans="1:31" x14ac:dyDescent="0.25">
      <c r="A128">
        <v>1009832</v>
      </c>
      <c r="B128">
        <v>9677</v>
      </c>
      <c r="C128" t="s">
        <v>43</v>
      </c>
      <c r="D128" t="str">
        <f t="shared" si="12"/>
        <v>NAT_FOR</v>
      </c>
      <c r="E128">
        <v>100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tr">
        <f t="shared" si="13"/>
        <v>NotLake</v>
      </c>
      <c r="AA128">
        <v>9</v>
      </c>
      <c r="AB128">
        <v>2223666.1798299998</v>
      </c>
      <c r="AC128">
        <v>1721.6442460000001</v>
      </c>
      <c r="AD128">
        <v>45616.349961</v>
      </c>
      <c r="AE128">
        <v>4.5615999999999997E-2</v>
      </c>
    </row>
    <row r="129" spans="1:31" x14ac:dyDescent="0.25">
      <c r="A129">
        <v>1009832</v>
      </c>
      <c r="B129">
        <v>9677</v>
      </c>
      <c r="C129" t="s">
        <v>43</v>
      </c>
      <c r="D129" t="str">
        <f t="shared" si="12"/>
        <v>WATER</v>
      </c>
      <c r="E129">
        <v>100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25</v>
      </c>
      <c r="Z129" t="str">
        <f t="shared" si="13"/>
        <v>Lake</v>
      </c>
      <c r="AA129">
        <v>9</v>
      </c>
      <c r="AB129">
        <v>2223666.1798299998</v>
      </c>
      <c r="AC129">
        <v>1053.8980320000001</v>
      </c>
      <c r="AD129">
        <v>5357.1420269999999</v>
      </c>
      <c r="AE129">
        <v>5.3569999999999998E-3</v>
      </c>
    </row>
    <row r="130" spans="1:31" x14ac:dyDescent="0.25">
      <c r="A130">
        <v>1010848</v>
      </c>
      <c r="B130">
        <v>10614</v>
      </c>
      <c r="C130" t="s">
        <v>44</v>
      </c>
      <c r="D130" t="str">
        <f t="shared" si="12"/>
        <v>SCRUB</v>
      </c>
      <c r="E130">
        <v>0</v>
      </c>
      <c r="F130">
        <v>0</v>
      </c>
      <c r="G130">
        <v>0</v>
      </c>
      <c r="H130">
        <v>100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tr">
        <f t="shared" si="13"/>
        <v>NotLake</v>
      </c>
      <c r="AA130">
        <v>49</v>
      </c>
      <c r="AB130">
        <v>520619.811216</v>
      </c>
      <c r="AC130">
        <v>1082.424579</v>
      </c>
      <c r="AD130">
        <v>46995.374906999998</v>
      </c>
      <c r="AE130">
        <v>4.6995000000000002E-2</v>
      </c>
    </row>
    <row r="131" spans="1:31" x14ac:dyDescent="0.25">
      <c r="A131">
        <v>1010474</v>
      </c>
      <c r="B131">
        <v>10429</v>
      </c>
      <c r="C131" t="s">
        <v>42</v>
      </c>
      <c r="D131" t="str">
        <f t="shared" ref="D131:D194" si="15">IF(Y131=0,C131,"WATER")</f>
        <v>PLANT_FOR</v>
      </c>
      <c r="E131">
        <v>0</v>
      </c>
      <c r="F131">
        <v>0</v>
      </c>
      <c r="G131">
        <v>100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tr">
        <f t="shared" ref="Z131:Z194" si="16">IF(Y131=0,"NotLake","Lake")</f>
        <v>NotLake</v>
      </c>
      <c r="AA131">
        <v>42</v>
      </c>
      <c r="AB131">
        <v>1544781.51786</v>
      </c>
      <c r="AC131">
        <v>1302.0808239999999</v>
      </c>
      <c r="AD131">
        <v>70971.822492000007</v>
      </c>
      <c r="AE131">
        <v>7.0971999999999993E-2</v>
      </c>
    </row>
    <row r="132" spans="1:31" x14ac:dyDescent="0.25">
      <c r="A132">
        <v>1010490</v>
      </c>
      <c r="B132">
        <v>10696</v>
      </c>
      <c r="C132" t="s">
        <v>44</v>
      </c>
      <c r="D132" t="str">
        <f t="shared" si="15"/>
        <v>SCRUB</v>
      </c>
      <c r="E132">
        <v>0</v>
      </c>
      <c r="F132">
        <v>0</v>
      </c>
      <c r="G132">
        <v>0</v>
      </c>
      <c r="H132">
        <v>100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tr">
        <f t="shared" si="16"/>
        <v>NotLake</v>
      </c>
      <c r="AA132">
        <v>43</v>
      </c>
      <c r="AB132">
        <v>1010666.12703</v>
      </c>
      <c r="AC132">
        <v>1146.427177</v>
      </c>
      <c r="AD132">
        <v>8774.0873150000007</v>
      </c>
      <c r="AE132">
        <v>8.7740000000000005E-3</v>
      </c>
    </row>
    <row r="133" spans="1:31" x14ac:dyDescent="0.25">
      <c r="A133">
        <v>1010490</v>
      </c>
      <c r="B133">
        <v>10696</v>
      </c>
      <c r="C133" t="s">
        <v>44</v>
      </c>
      <c r="D133" t="str">
        <f t="shared" si="15"/>
        <v>WATER</v>
      </c>
      <c r="E133">
        <v>0</v>
      </c>
      <c r="F133">
        <v>0</v>
      </c>
      <c r="G133">
        <v>0</v>
      </c>
      <c r="H133">
        <v>100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25</v>
      </c>
      <c r="Z133" t="str">
        <f t="shared" si="16"/>
        <v>Lake</v>
      </c>
      <c r="AA133">
        <v>43</v>
      </c>
      <c r="AB133">
        <v>1010666.12703</v>
      </c>
      <c r="AC133">
        <v>2638.8750960000002</v>
      </c>
      <c r="AD133">
        <v>57371.860180000003</v>
      </c>
      <c r="AE133">
        <v>5.7371999999999999E-2</v>
      </c>
    </row>
    <row r="134" spans="1:31" x14ac:dyDescent="0.25">
      <c r="A134">
        <v>1010461</v>
      </c>
      <c r="B134">
        <v>10402</v>
      </c>
      <c r="C134" t="s">
        <v>43</v>
      </c>
      <c r="D134" t="str">
        <f t="shared" si="15"/>
        <v>NAT_FOR</v>
      </c>
      <c r="E134">
        <v>100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tr">
        <f t="shared" si="16"/>
        <v>NotLake</v>
      </c>
      <c r="AA134">
        <v>40</v>
      </c>
      <c r="AB134">
        <v>938753.97368599998</v>
      </c>
      <c r="AC134">
        <v>1130.594026</v>
      </c>
      <c r="AD134">
        <v>56595.988211999997</v>
      </c>
      <c r="AE134">
        <v>5.6596E-2</v>
      </c>
    </row>
    <row r="135" spans="1:31" x14ac:dyDescent="0.25">
      <c r="A135">
        <v>1010474</v>
      </c>
      <c r="B135">
        <v>10429</v>
      </c>
      <c r="C135" t="s">
        <v>44</v>
      </c>
      <c r="D135" t="str">
        <f t="shared" si="15"/>
        <v>SCRUB</v>
      </c>
      <c r="E135">
        <v>0</v>
      </c>
      <c r="F135">
        <v>0</v>
      </c>
      <c r="G135">
        <v>0</v>
      </c>
      <c r="H135">
        <v>100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tr">
        <f t="shared" si="16"/>
        <v>NotLake</v>
      </c>
      <c r="AA135">
        <v>42</v>
      </c>
      <c r="AB135">
        <v>1544781.51786</v>
      </c>
      <c r="AC135">
        <v>1824.153051</v>
      </c>
      <c r="AD135">
        <v>49078.472304000003</v>
      </c>
      <c r="AE135">
        <v>4.9077999999999997E-2</v>
      </c>
    </row>
    <row r="136" spans="1:31" x14ac:dyDescent="0.25">
      <c r="A136">
        <v>1010548</v>
      </c>
      <c r="B136">
        <v>10318</v>
      </c>
      <c r="C136" t="s">
        <v>43</v>
      </c>
      <c r="D136" t="str">
        <f t="shared" si="15"/>
        <v>NAT_FOR</v>
      </c>
      <c r="E136">
        <v>100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tr">
        <f t="shared" si="16"/>
        <v>NotLake</v>
      </c>
      <c r="AA136">
        <v>44</v>
      </c>
      <c r="AB136">
        <v>254468.65062599999</v>
      </c>
      <c r="AC136">
        <v>1165.9725619999999</v>
      </c>
      <c r="AD136">
        <v>30182.968441000001</v>
      </c>
      <c r="AE136">
        <v>3.0183000000000001E-2</v>
      </c>
    </row>
    <row r="137" spans="1:31" x14ac:dyDescent="0.25">
      <c r="A137">
        <v>1009665</v>
      </c>
      <c r="B137">
        <v>9527</v>
      </c>
      <c r="C137" t="s">
        <v>42</v>
      </c>
      <c r="D137" t="str">
        <f t="shared" si="15"/>
        <v>PLANT_FOR</v>
      </c>
      <c r="E137">
        <v>0</v>
      </c>
      <c r="F137">
        <v>0</v>
      </c>
      <c r="G137">
        <v>100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tr">
        <f t="shared" si="16"/>
        <v>NotLake</v>
      </c>
      <c r="AA137">
        <v>1</v>
      </c>
      <c r="AB137">
        <v>460381.55421099998</v>
      </c>
      <c r="AC137">
        <v>429.59837599999997</v>
      </c>
      <c r="AD137">
        <v>8368.6198280000008</v>
      </c>
      <c r="AE137">
        <v>8.3689999999999997E-3</v>
      </c>
    </row>
    <row r="138" spans="1:31" x14ac:dyDescent="0.25">
      <c r="A138">
        <v>1009665</v>
      </c>
      <c r="B138">
        <v>9527</v>
      </c>
      <c r="C138" t="s">
        <v>42</v>
      </c>
      <c r="D138" t="str">
        <f t="shared" si="15"/>
        <v>WATER</v>
      </c>
      <c r="E138">
        <v>0</v>
      </c>
      <c r="F138">
        <v>0</v>
      </c>
      <c r="G138">
        <v>100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25</v>
      </c>
      <c r="Z138" t="str">
        <f t="shared" si="16"/>
        <v>Lake</v>
      </c>
      <c r="AA138">
        <v>1</v>
      </c>
      <c r="AB138">
        <v>460381.55421099998</v>
      </c>
      <c r="AC138">
        <v>871.38155400000005</v>
      </c>
      <c r="AD138">
        <v>17704.900856</v>
      </c>
      <c r="AE138">
        <v>1.7704999999999999E-2</v>
      </c>
    </row>
    <row r="139" spans="1:31" x14ac:dyDescent="0.25">
      <c r="A139">
        <v>1009710</v>
      </c>
      <c r="B139">
        <v>9610</v>
      </c>
      <c r="C139" t="s">
        <v>42</v>
      </c>
      <c r="D139" t="str">
        <f t="shared" si="15"/>
        <v>PLANT_FOR</v>
      </c>
      <c r="E139">
        <v>0</v>
      </c>
      <c r="F139">
        <v>0</v>
      </c>
      <c r="G139">
        <v>100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tr">
        <f t="shared" si="16"/>
        <v>NotLake</v>
      </c>
      <c r="AA139">
        <v>4</v>
      </c>
      <c r="AB139">
        <v>624933.80375199998</v>
      </c>
      <c r="AC139">
        <v>63.788373</v>
      </c>
      <c r="AD139">
        <v>249.47398799999999</v>
      </c>
      <c r="AE139">
        <v>2.4899999999999998E-4</v>
      </c>
    </row>
    <row r="140" spans="1:31" x14ac:dyDescent="0.25">
      <c r="A140">
        <v>1009710</v>
      </c>
      <c r="B140">
        <v>9610</v>
      </c>
      <c r="C140" t="s">
        <v>42</v>
      </c>
      <c r="D140" t="str">
        <f t="shared" si="15"/>
        <v>WATER</v>
      </c>
      <c r="E140">
        <v>0</v>
      </c>
      <c r="F140">
        <v>0</v>
      </c>
      <c r="G140">
        <v>100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25</v>
      </c>
      <c r="Z140" t="str">
        <f t="shared" si="16"/>
        <v>Lake</v>
      </c>
      <c r="AA140">
        <v>4</v>
      </c>
      <c r="AB140">
        <v>624933.80375199998</v>
      </c>
      <c r="AC140">
        <v>705.15160700000001</v>
      </c>
      <c r="AD140">
        <v>12974.261828999999</v>
      </c>
      <c r="AE140">
        <v>1.2973999999999999E-2</v>
      </c>
    </row>
    <row r="141" spans="1:31" x14ac:dyDescent="0.25">
      <c r="A141">
        <v>1010665</v>
      </c>
      <c r="B141">
        <v>10695</v>
      </c>
      <c r="C141" t="s">
        <v>44</v>
      </c>
      <c r="D141" t="str">
        <f t="shared" si="15"/>
        <v>SCRUB</v>
      </c>
      <c r="E141">
        <v>0</v>
      </c>
      <c r="F141">
        <v>0</v>
      </c>
      <c r="G141">
        <v>0</v>
      </c>
      <c r="H141">
        <v>100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tr">
        <f t="shared" si="16"/>
        <v>NotLake</v>
      </c>
      <c r="AA141">
        <v>47</v>
      </c>
      <c r="AB141">
        <v>362365.16101899999</v>
      </c>
      <c r="AC141">
        <v>907.55794200000003</v>
      </c>
      <c r="AD141">
        <v>37345.118889999998</v>
      </c>
      <c r="AE141">
        <v>3.7345000000000003E-2</v>
      </c>
    </row>
    <row r="142" spans="1:31" x14ac:dyDescent="0.25">
      <c r="A142">
        <v>1010139</v>
      </c>
      <c r="B142">
        <v>9961</v>
      </c>
      <c r="C142" t="s">
        <v>42</v>
      </c>
      <c r="D142" t="str">
        <f t="shared" si="15"/>
        <v>PLANT_FOR</v>
      </c>
      <c r="E142">
        <v>0</v>
      </c>
      <c r="F142">
        <v>0</v>
      </c>
      <c r="G142">
        <v>100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tr">
        <f t="shared" si="16"/>
        <v>NotLake</v>
      </c>
      <c r="AA142">
        <v>15</v>
      </c>
      <c r="AB142">
        <v>1662601.4959199999</v>
      </c>
      <c r="AC142">
        <v>2006.4000109999999</v>
      </c>
      <c r="AD142">
        <v>33457.890895999997</v>
      </c>
      <c r="AE142">
        <v>3.3458000000000002E-2</v>
      </c>
    </row>
    <row r="143" spans="1:31" x14ac:dyDescent="0.25">
      <c r="A143">
        <v>1010139</v>
      </c>
      <c r="B143">
        <v>9961</v>
      </c>
      <c r="C143" t="s">
        <v>42</v>
      </c>
      <c r="D143" t="str">
        <f t="shared" si="15"/>
        <v>WATER</v>
      </c>
      <c r="E143">
        <v>0</v>
      </c>
      <c r="F143">
        <v>0</v>
      </c>
      <c r="G143">
        <v>100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25</v>
      </c>
      <c r="Z143" t="str">
        <f t="shared" si="16"/>
        <v>Lake</v>
      </c>
      <c r="AA143">
        <v>15</v>
      </c>
      <c r="AB143">
        <v>1662601.4959199999</v>
      </c>
      <c r="AC143">
        <v>529.10020499999996</v>
      </c>
      <c r="AD143">
        <v>2174.279814</v>
      </c>
      <c r="AE143">
        <v>2.1740000000000002E-3</v>
      </c>
    </row>
    <row r="144" spans="1:31" x14ac:dyDescent="0.25">
      <c r="A144">
        <v>1010848</v>
      </c>
      <c r="B144">
        <v>10614</v>
      </c>
      <c r="C144" t="s">
        <v>44</v>
      </c>
      <c r="D144" t="str">
        <f t="shared" si="15"/>
        <v>SCRUB</v>
      </c>
      <c r="E144">
        <v>0</v>
      </c>
      <c r="F144">
        <v>0</v>
      </c>
      <c r="G144">
        <v>0</v>
      </c>
      <c r="H144">
        <v>100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tr">
        <f t="shared" si="16"/>
        <v>NotLake</v>
      </c>
      <c r="AA144">
        <v>49</v>
      </c>
      <c r="AB144">
        <v>520619.811216</v>
      </c>
      <c r="AC144">
        <v>1145.286593</v>
      </c>
      <c r="AD144">
        <v>34013.139764</v>
      </c>
      <c r="AE144">
        <v>3.4013000000000002E-2</v>
      </c>
    </row>
    <row r="145" spans="1:31" x14ac:dyDescent="0.25">
      <c r="A145">
        <v>1010848</v>
      </c>
      <c r="B145">
        <v>10614</v>
      </c>
      <c r="C145" t="s">
        <v>43</v>
      </c>
      <c r="D145" t="str">
        <f t="shared" si="15"/>
        <v>NAT_FOR</v>
      </c>
      <c r="E145">
        <v>100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tr">
        <f t="shared" si="16"/>
        <v>NotLake</v>
      </c>
      <c r="AA145">
        <v>49</v>
      </c>
      <c r="AB145">
        <v>520619.811216</v>
      </c>
      <c r="AC145">
        <v>1024.4128659999999</v>
      </c>
      <c r="AD145">
        <v>33549.890472999999</v>
      </c>
      <c r="AE145">
        <v>3.3550000000000003E-2</v>
      </c>
    </row>
    <row r="146" spans="1:31" x14ac:dyDescent="0.25">
      <c r="A146">
        <v>1009840</v>
      </c>
      <c r="B146">
        <v>10134</v>
      </c>
      <c r="C146" t="s">
        <v>44</v>
      </c>
      <c r="D146" t="str">
        <f t="shared" si="15"/>
        <v>SCRUB</v>
      </c>
      <c r="E146">
        <v>0</v>
      </c>
      <c r="F146">
        <v>0</v>
      </c>
      <c r="G146">
        <v>0</v>
      </c>
      <c r="H146">
        <v>100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tr">
        <f t="shared" si="16"/>
        <v>NotLake</v>
      </c>
      <c r="AA146">
        <v>10</v>
      </c>
      <c r="AB146">
        <v>2209249.6887300001</v>
      </c>
      <c r="AC146">
        <v>397.99399</v>
      </c>
      <c r="AD146">
        <v>1013.892602</v>
      </c>
      <c r="AE146">
        <v>1.0139999999999999E-3</v>
      </c>
    </row>
    <row r="147" spans="1:31" x14ac:dyDescent="0.25">
      <c r="A147">
        <v>1009840</v>
      </c>
      <c r="B147">
        <v>10134</v>
      </c>
      <c r="C147" t="s">
        <v>44</v>
      </c>
      <c r="D147" t="str">
        <f t="shared" si="15"/>
        <v>WATER</v>
      </c>
      <c r="E147">
        <v>0</v>
      </c>
      <c r="F147">
        <v>0</v>
      </c>
      <c r="G147">
        <v>0</v>
      </c>
      <c r="H147">
        <v>100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25</v>
      </c>
      <c r="Z147" t="str">
        <f t="shared" si="16"/>
        <v>Lake</v>
      </c>
      <c r="AA147">
        <v>10</v>
      </c>
      <c r="AB147">
        <v>2209249.6887300001</v>
      </c>
      <c r="AC147">
        <v>935.249596</v>
      </c>
      <c r="AD147">
        <v>32320.739689000002</v>
      </c>
      <c r="AE147">
        <v>3.2321000000000003E-2</v>
      </c>
    </row>
    <row r="148" spans="1:31" x14ac:dyDescent="0.25">
      <c r="A148">
        <v>1010344</v>
      </c>
      <c r="B148">
        <v>10142</v>
      </c>
      <c r="C148" t="s">
        <v>43</v>
      </c>
      <c r="D148" t="str">
        <f t="shared" si="15"/>
        <v>NAT_FOR</v>
      </c>
      <c r="E148">
        <v>100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tr">
        <f t="shared" si="16"/>
        <v>NotLake</v>
      </c>
      <c r="AA148">
        <v>26</v>
      </c>
      <c r="AB148">
        <v>583577.16153899999</v>
      </c>
      <c r="AC148">
        <v>960.325827</v>
      </c>
      <c r="AD148">
        <v>24155.763715000001</v>
      </c>
      <c r="AE148">
        <v>2.4156E-2</v>
      </c>
    </row>
    <row r="149" spans="1:31" x14ac:dyDescent="0.25">
      <c r="A149">
        <v>1010398</v>
      </c>
      <c r="B149">
        <v>10415</v>
      </c>
      <c r="C149" t="s">
        <v>43</v>
      </c>
      <c r="D149" t="str">
        <f t="shared" si="15"/>
        <v>NAT_FOR</v>
      </c>
      <c r="E149">
        <v>100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tr">
        <f t="shared" si="16"/>
        <v>NotLake</v>
      </c>
      <c r="AA149">
        <v>35</v>
      </c>
      <c r="AB149">
        <v>212209.53551300001</v>
      </c>
      <c r="AC149">
        <v>429.37518499999999</v>
      </c>
      <c r="AD149">
        <v>9025.2909319999999</v>
      </c>
      <c r="AE149">
        <v>9.025E-3</v>
      </c>
    </row>
    <row r="150" spans="1:31" x14ac:dyDescent="0.25">
      <c r="A150">
        <v>1009885</v>
      </c>
      <c r="B150">
        <v>9905</v>
      </c>
      <c r="C150" t="s">
        <v>46</v>
      </c>
      <c r="D150" t="str">
        <f t="shared" si="15"/>
        <v>WATER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100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tr">
        <f t="shared" si="16"/>
        <v>NotLake</v>
      </c>
      <c r="AA150">
        <v>11</v>
      </c>
      <c r="AB150">
        <v>303926.051056</v>
      </c>
      <c r="AC150">
        <v>544.72818400000006</v>
      </c>
      <c r="AD150">
        <v>8739.1569130000007</v>
      </c>
      <c r="AE150">
        <v>8.7390000000000002E-3</v>
      </c>
    </row>
    <row r="151" spans="1:31" x14ac:dyDescent="0.25">
      <c r="A151">
        <v>1010121</v>
      </c>
      <c r="B151">
        <v>9962</v>
      </c>
      <c r="C151" t="s">
        <v>46</v>
      </c>
      <c r="D151" t="str">
        <f t="shared" si="15"/>
        <v>WATER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tr">
        <f t="shared" si="16"/>
        <v>NotLake</v>
      </c>
      <c r="AA151">
        <v>14</v>
      </c>
      <c r="AB151">
        <v>1941333.5943100001</v>
      </c>
      <c r="AC151">
        <v>8.22105</v>
      </c>
      <c r="AD151">
        <v>2.7910119999999998</v>
      </c>
      <c r="AE151">
        <v>3.0000000000000001E-6</v>
      </c>
    </row>
    <row r="152" spans="1:31" x14ac:dyDescent="0.25">
      <c r="A152">
        <v>1009840</v>
      </c>
      <c r="B152">
        <v>10134</v>
      </c>
      <c r="C152" t="s">
        <v>42</v>
      </c>
      <c r="D152" t="str">
        <f t="shared" si="15"/>
        <v>PLANT_FOR</v>
      </c>
      <c r="E152">
        <v>0</v>
      </c>
      <c r="F152">
        <v>0</v>
      </c>
      <c r="G152">
        <v>100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tr">
        <f t="shared" si="16"/>
        <v>NotLake</v>
      </c>
      <c r="AA152">
        <v>10</v>
      </c>
      <c r="AB152">
        <v>2209249.6887300001</v>
      </c>
      <c r="AC152">
        <v>1204.0988749999999</v>
      </c>
      <c r="AD152">
        <v>13973.518031</v>
      </c>
      <c r="AE152">
        <v>1.3974E-2</v>
      </c>
    </row>
    <row r="153" spans="1:31" x14ac:dyDescent="0.25">
      <c r="A153">
        <v>1009840</v>
      </c>
      <c r="B153">
        <v>10134</v>
      </c>
      <c r="C153" t="s">
        <v>42</v>
      </c>
      <c r="D153" t="str">
        <f t="shared" si="15"/>
        <v>WATER</v>
      </c>
      <c r="E153">
        <v>0</v>
      </c>
      <c r="F153">
        <v>0</v>
      </c>
      <c r="G153">
        <v>100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25</v>
      </c>
      <c r="Z153" t="str">
        <f t="shared" si="16"/>
        <v>Lake</v>
      </c>
      <c r="AA153">
        <v>10</v>
      </c>
      <c r="AB153">
        <v>2209249.6887300001</v>
      </c>
      <c r="AC153">
        <v>1119.139318</v>
      </c>
      <c r="AD153">
        <v>17467.092945</v>
      </c>
      <c r="AE153">
        <v>1.7467E-2</v>
      </c>
    </row>
    <row r="154" spans="1:31" x14ac:dyDescent="0.25">
      <c r="A154">
        <v>1009840</v>
      </c>
      <c r="B154">
        <v>10134</v>
      </c>
      <c r="C154" t="s">
        <v>44</v>
      </c>
      <c r="D154" t="str">
        <f t="shared" si="15"/>
        <v>SCRUB</v>
      </c>
      <c r="E154">
        <v>0</v>
      </c>
      <c r="F154">
        <v>0</v>
      </c>
      <c r="G154">
        <v>0</v>
      </c>
      <c r="H154">
        <v>100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tr">
        <f t="shared" si="16"/>
        <v>NotLake</v>
      </c>
      <c r="AA154">
        <v>10</v>
      </c>
      <c r="AB154">
        <v>2209249.6887300001</v>
      </c>
      <c r="AC154">
        <v>466.55562800000001</v>
      </c>
      <c r="AD154">
        <v>8448.9723030000005</v>
      </c>
      <c r="AE154">
        <v>8.4489999999999999E-3</v>
      </c>
    </row>
    <row r="155" spans="1:31" x14ac:dyDescent="0.25">
      <c r="A155">
        <v>1009840</v>
      </c>
      <c r="B155">
        <v>10134</v>
      </c>
      <c r="C155" t="s">
        <v>44</v>
      </c>
      <c r="D155" t="str">
        <f t="shared" si="15"/>
        <v>WATER</v>
      </c>
      <c r="E155">
        <v>0</v>
      </c>
      <c r="F155">
        <v>0</v>
      </c>
      <c r="G155">
        <v>0</v>
      </c>
      <c r="H155">
        <v>100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25</v>
      </c>
      <c r="Z155" t="str">
        <f t="shared" si="16"/>
        <v>Lake</v>
      </c>
      <c r="AA155">
        <v>10</v>
      </c>
      <c r="AB155">
        <v>2209249.6887300001</v>
      </c>
      <c r="AC155">
        <v>339.64528100000001</v>
      </c>
      <c r="AD155">
        <v>1671.6818390000001</v>
      </c>
      <c r="AE155">
        <v>1.6720000000000001E-3</v>
      </c>
    </row>
    <row r="156" spans="1:31" x14ac:dyDescent="0.25">
      <c r="A156">
        <v>1010359</v>
      </c>
      <c r="B156">
        <v>10700</v>
      </c>
      <c r="C156" t="s">
        <v>44</v>
      </c>
      <c r="D156" t="str">
        <f t="shared" si="15"/>
        <v>SCRUB</v>
      </c>
      <c r="E156">
        <v>0</v>
      </c>
      <c r="F156">
        <v>0</v>
      </c>
      <c r="G156">
        <v>0</v>
      </c>
      <c r="H156">
        <v>100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tr">
        <f t="shared" si="16"/>
        <v>NotLake</v>
      </c>
      <c r="AA156">
        <v>28</v>
      </c>
      <c r="AB156">
        <v>311110.45064200001</v>
      </c>
      <c r="AC156">
        <v>720.34436100000005</v>
      </c>
      <c r="AD156">
        <v>15809.330647000001</v>
      </c>
      <c r="AE156">
        <v>1.5809E-2</v>
      </c>
    </row>
    <row r="157" spans="1:31" x14ac:dyDescent="0.25">
      <c r="A157">
        <v>1010359</v>
      </c>
      <c r="B157">
        <v>10700</v>
      </c>
      <c r="C157" t="s">
        <v>44</v>
      </c>
      <c r="D157" t="str">
        <f t="shared" si="15"/>
        <v>WATER</v>
      </c>
      <c r="E157">
        <v>0</v>
      </c>
      <c r="F157">
        <v>0</v>
      </c>
      <c r="G157">
        <v>0</v>
      </c>
      <c r="H157">
        <v>100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25</v>
      </c>
      <c r="Z157" t="str">
        <f t="shared" si="16"/>
        <v>Lake</v>
      </c>
      <c r="AA157">
        <v>28</v>
      </c>
      <c r="AB157">
        <v>311110.45064200001</v>
      </c>
      <c r="AC157">
        <v>610.95912999999996</v>
      </c>
      <c r="AD157">
        <v>4313.9937689999997</v>
      </c>
      <c r="AE157">
        <v>4.3140000000000001E-3</v>
      </c>
    </row>
    <row r="158" spans="1:31" x14ac:dyDescent="0.25">
      <c r="A158">
        <v>1010359</v>
      </c>
      <c r="B158">
        <v>10700</v>
      </c>
      <c r="C158" t="s">
        <v>43</v>
      </c>
      <c r="D158" t="str">
        <f t="shared" si="15"/>
        <v>NAT_FOR</v>
      </c>
      <c r="E158">
        <v>100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tr">
        <f t="shared" si="16"/>
        <v>NotLake</v>
      </c>
      <c r="AA158">
        <v>28</v>
      </c>
      <c r="AB158">
        <v>311110.45064200001</v>
      </c>
      <c r="AC158">
        <v>572.09443399999998</v>
      </c>
      <c r="AD158">
        <v>13910.682572</v>
      </c>
      <c r="AE158">
        <v>1.3911E-2</v>
      </c>
    </row>
    <row r="159" spans="1:31" x14ac:dyDescent="0.25">
      <c r="A159">
        <v>1010422</v>
      </c>
      <c r="B159">
        <v>10701</v>
      </c>
      <c r="C159" t="s">
        <v>43</v>
      </c>
      <c r="D159" t="str">
        <f t="shared" si="15"/>
        <v>NAT_FOR</v>
      </c>
      <c r="E159">
        <v>100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tr">
        <f t="shared" si="16"/>
        <v>NotLake</v>
      </c>
      <c r="AA159">
        <v>37</v>
      </c>
      <c r="AB159">
        <v>155554.77942400001</v>
      </c>
      <c r="AC159">
        <v>36.422406000000002</v>
      </c>
      <c r="AD159">
        <v>29.938796</v>
      </c>
      <c r="AE159">
        <v>3.0000000000000001E-5</v>
      </c>
    </row>
    <row r="160" spans="1:31" x14ac:dyDescent="0.25">
      <c r="A160">
        <v>1009885</v>
      </c>
      <c r="B160">
        <v>9905</v>
      </c>
      <c r="C160" t="s">
        <v>43</v>
      </c>
      <c r="D160" t="str">
        <f t="shared" si="15"/>
        <v>NAT_FOR</v>
      </c>
      <c r="E160">
        <v>100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t="str">
        <f t="shared" si="16"/>
        <v>NotLake</v>
      </c>
      <c r="AA160">
        <v>11</v>
      </c>
      <c r="AB160">
        <v>303926.051056</v>
      </c>
      <c r="AC160">
        <v>198.618796</v>
      </c>
      <c r="AD160">
        <v>1160.2240409999999</v>
      </c>
      <c r="AE160">
        <v>1.16E-3</v>
      </c>
    </row>
    <row r="161" spans="1:31" x14ac:dyDescent="0.25">
      <c r="A161">
        <v>1010301</v>
      </c>
      <c r="B161">
        <v>10173</v>
      </c>
      <c r="C161" t="s">
        <v>43</v>
      </c>
      <c r="D161" t="str">
        <f t="shared" si="15"/>
        <v>NAT_FOR</v>
      </c>
      <c r="E161">
        <v>100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tr">
        <f t="shared" si="16"/>
        <v>NotLake</v>
      </c>
      <c r="AA161">
        <v>23</v>
      </c>
      <c r="AB161">
        <v>425314.40753199998</v>
      </c>
      <c r="AC161">
        <v>736.32480099999998</v>
      </c>
      <c r="AD161">
        <v>26502.575246</v>
      </c>
      <c r="AE161">
        <v>2.6502999999999999E-2</v>
      </c>
    </row>
    <row r="162" spans="1:31" x14ac:dyDescent="0.25">
      <c r="A162">
        <v>1010660</v>
      </c>
      <c r="B162">
        <v>10449</v>
      </c>
      <c r="C162" t="s">
        <v>43</v>
      </c>
      <c r="D162" t="str">
        <f t="shared" si="15"/>
        <v>NAT_FOR</v>
      </c>
      <c r="E162">
        <v>100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tr">
        <f t="shared" si="16"/>
        <v>NotLake</v>
      </c>
      <c r="AA162">
        <v>46</v>
      </c>
      <c r="AB162">
        <v>513427.38872300001</v>
      </c>
      <c r="AC162">
        <v>683.96437500000002</v>
      </c>
      <c r="AD162">
        <v>26482.976373000001</v>
      </c>
      <c r="AE162">
        <v>2.6483E-2</v>
      </c>
    </row>
    <row r="163" spans="1:31" x14ac:dyDescent="0.25">
      <c r="A163">
        <v>1010140</v>
      </c>
      <c r="B163">
        <v>9960</v>
      </c>
      <c r="C163" t="s">
        <v>42</v>
      </c>
      <c r="D163" t="str">
        <f t="shared" si="15"/>
        <v>PLANT_FOR</v>
      </c>
      <c r="E163">
        <v>0</v>
      </c>
      <c r="F163">
        <v>0</v>
      </c>
      <c r="G163">
        <v>100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tr">
        <f t="shared" si="16"/>
        <v>NotLake</v>
      </c>
      <c r="AA163">
        <v>16</v>
      </c>
      <c r="AB163">
        <v>369568.60371699999</v>
      </c>
      <c r="AC163">
        <v>75.227918000000003</v>
      </c>
      <c r="AD163">
        <v>340.95398799999998</v>
      </c>
      <c r="AE163">
        <v>3.4099999999999999E-4</v>
      </c>
    </row>
    <row r="164" spans="1:31" x14ac:dyDescent="0.25">
      <c r="A164">
        <v>1010344</v>
      </c>
      <c r="B164">
        <v>10142</v>
      </c>
      <c r="C164" t="s">
        <v>42</v>
      </c>
      <c r="D164" t="str">
        <f t="shared" si="15"/>
        <v>PLANT_FOR</v>
      </c>
      <c r="E164">
        <v>0</v>
      </c>
      <c r="F164">
        <v>0</v>
      </c>
      <c r="G164">
        <v>100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tr">
        <f t="shared" si="16"/>
        <v>NotLake</v>
      </c>
      <c r="AA164">
        <v>26</v>
      </c>
      <c r="AB164">
        <v>583577.16153899999</v>
      </c>
      <c r="AC164">
        <v>1003.012464</v>
      </c>
      <c r="AD164">
        <v>17933.110076000001</v>
      </c>
      <c r="AE164">
        <v>1.7933000000000001E-2</v>
      </c>
    </row>
    <row r="165" spans="1:31" x14ac:dyDescent="0.25">
      <c r="A165">
        <v>1010359</v>
      </c>
      <c r="B165">
        <v>10700</v>
      </c>
      <c r="C165" t="s">
        <v>44</v>
      </c>
      <c r="D165" t="str">
        <f t="shared" si="15"/>
        <v>SCRUB</v>
      </c>
      <c r="E165">
        <v>0</v>
      </c>
      <c r="F165">
        <v>0</v>
      </c>
      <c r="G165">
        <v>0</v>
      </c>
      <c r="H165">
        <v>100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tr">
        <f t="shared" si="16"/>
        <v>NotLake</v>
      </c>
      <c r="AA165">
        <v>28</v>
      </c>
      <c r="AB165">
        <v>311110.45064200001</v>
      </c>
      <c r="AC165">
        <v>782.22859500000004</v>
      </c>
      <c r="AD165">
        <v>17843.938461999998</v>
      </c>
      <c r="AE165">
        <v>1.7843999999999999E-2</v>
      </c>
    </row>
    <row r="166" spans="1:31" x14ac:dyDescent="0.25">
      <c r="A166">
        <v>1010423</v>
      </c>
      <c r="B166">
        <v>10241</v>
      </c>
      <c r="C166" t="s">
        <v>44</v>
      </c>
      <c r="D166" t="str">
        <f t="shared" si="15"/>
        <v>SCRUB</v>
      </c>
      <c r="E166">
        <v>0</v>
      </c>
      <c r="F166">
        <v>0</v>
      </c>
      <c r="G166">
        <v>0</v>
      </c>
      <c r="H166">
        <v>100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tr">
        <f t="shared" si="16"/>
        <v>NotLake</v>
      </c>
      <c r="AA166">
        <v>38</v>
      </c>
      <c r="AB166">
        <v>403724.58460399997</v>
      </c>
      <c r="AC166">
        <v>488.66747800000002</v>
      </c>
      <c r="AD166">
        <v>7086.9364880000003</v>
      </c>
      <c r="AE166">
        <v>7.0870000000000004E-3</v>
      </c>
    </row>
    <row r="167" spans="1:31" x14ac:dyDescent="0.25">
      <c r="A167">
        <v>1009698</v>
      </c>
      <c r="B167">
        <v>9480</v>
      </c>
      <c r="C167" t="s">
        <v>45</v>
      </c>
      <c r="D167" t="str">
        <f t="shared" si="15"/>
        <v>URBAN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tr">
        <f t="shared" si="16"/>
        <v>NotLake</v>
      </c>
      <c r="AA167">
        <v>2</v>
      </c>
      <c r="AB167">
        <v>2613890.82766</v>
      </c>
      <c r="AC167">
        <v>155.840833</v>
      </c>
      <c r="AD167">
        <v>665.63312699999994</v>
      </c>
      <c r="AE167">
        <v>6.6600000000000003E-4</v>
      </c>
    </row>
    <row r="168" spans="1:31" x14ac:dyDescent="0.25">
      <c r="A168">
        <v>1009804</v>
      </c>
      <c r="B168">
        <v>9676</v>
      </c>
      <c r="C168" t="s">
        <v>43</v>
      </c>
      <c r="D168" t="str">
        <f t="shared" si="15"/>
        <v>NAT_FOR</v>
      </c>
      <c r="E168">
        <v>100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tr">
        <f t="shared" si="16"/>
        <v>NotLake</v>
      </c>
      <c r="AA168">
        <v>7</v>
      </c>
      <c r="AB168">
        <v>235586.04437799999</v>
      </c>
      <c r="AC168">
        <v>271.690786</v>
      </c>
      <c r="AD168">
        <v>2392.7744109999999</v>
      </c>
      <c r="AE168">
        <v>2.3930000000000002E-3</v>
      </c>
    </row>
    <row r="169" spans="1:31" x14ac:dyDescent="0.25">
      <c r="A169">
        <v>1009804</v>
      </c>
      <c r="B169">
        <v>9676</v>
      </c>
      <c r="C169" t="s">
        <v>43</v>
      </c>
      <c r="D169" t="str">
        <f t="shared" si="15"/>
        <v>WATER</v>
      </c>
      <c r="E169">
        <v>100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25</v>
      </c>
      <c r="Z169" t="str">
        <f t="shared" si="16"/>
        <v>Lake</v>
      </c>
      <c r="AA169">
        <v>7</v>
      </c>
      <c r="AB169">
        <v>235586.04437799999</v>
      </c>
      <c r="AC169">
        <v>43.974075999999997</v>
      </c>
      <c r="AD169">
        <v>45.539676</v>
      </c>
      <c r="AE169">
        <v>4.6E-5</v>
      </c>
    </row>
    <row r="170" spans="1:31" x14ac:dyDescent="0.25">
      <c r="A170">
        <v>1009808</v>
      </c>
      <c r="B170">
        <v>9675</v>
      </c>
      <c r="C170" t="s">
        <v>43</v>
      </c>
      <c r="D170" t="str">
        <f t="shared" si="15"/>
        <v>NAT_FOR</v>
      </c>
      <c r="E170">
        <v>100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tr">
        <f t="shared" si="16"/>
        <v>NotLake</v>
      </c>
      <c r="AA170">
        <v>8</v>
      </c>
      <c r="AB170">
        <v>325505.16677000001</v>
      </c>
      <c r="AC170">
        <v>1319.176465</v>
      </c>
      <c r="AD170">
        <v>17407.016328000002</v>
      </c>
      <c r="AE170">
        <v>1.7406999999999999E-2</v>
      </c>
    </row>
    <row r="171" spans="1:31" x14ac:dyDescent="0.25">
      <c r="A171">
        <v>1009808</v>
      </c>
      <c r="B171">
        <v>9675</v>
      </c>
      <c r="C171" t="s">
        <v>43</v>
      </c>
      <c r="D171" t="str">
        <f t="shared" si="15"/>
        <v>WATER</v>
      </c>
      <c r="E171">
        <v>100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25</v>
      </c>
      <c r="Z171" t="str">
        <f t="shared" si="16"/>
        <v>Lake</v>
      </c>
      <c r="AA171">
        <v>8</v>
      </c>
      <c r="AB171">
        <v>325505.16677000001</v>
      </c>
      <c r="AC171">
        <v>557.79637600000001</v>
      </c>
      <c r="AD171">
        <v>3639.5912050000002</v>
      </c>
      <c r="AE171">
        <v>3.64E-3</v>
      </c>
    </row>
    <row r="172" spans="1:31" x14ac:dyDescent="0.25">
      <c r="A172">
        <v>1009840</v>
      </c>
      <c r="B172">
        <v>10134</v>
      </c>
      <c r="C172" t="s">
        <v>42</v>
      </c>
      <c r="D172" t="str">
        <f t="shared" si="15"/>
        <v>PLANT_FOR</v>
      </c>
      <c r="E172">
        <v>0</v>
      </c>
      <c r="F172">
        <v>0</v>
      </c>
      <c r="G172">
        <v>100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t="str">
        <f t="shared" si="16"/>
        <v>NotLake</v>
      </c>
      <c r="AA172">
        <v>10</v>
      </c>
      <c r="AB172">
        <v>2209249.6887300001</v>
      </c>
      <c r="AC172">
        <v>167.48289600000001</v>
      </c>
      <c r="AD172">
        <v>986.54740900000002</v>
      </c>
      <c r="AE172">
        <v>9.8700000000000003E-4</v>
      </c>
    </row>
    <row r="173" spans="1:31" x14ac:dyDescent="0.25">
      <c r="A173">
        <v>1010462</v>
      </c>
      <c r="B173">
        <v>10414</v>
      </c>
      <c r="C173" t="s">
        <v>43</v>
      </c>
      <c r="D173" t="str">
        <f t="shared" si="15"/>
        <v>NAT_FOR</v>
      </c>
      <c r="E173">
        <v>100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tr">
        <f t="shared" si="16"/>
        <v>NotLake</v>
      </c>
      <c r="AA173">
        <v>41</v>
      </c>
      <c r="AB173">
        <v>1152767.33971</v>
      </c>
      <c r="AC173">
        <v>358.87688100000003</v>
      </c>
      <c r="AD173">
        <v>5622.0113840000004</v>
      </c>
      <c r="AE173">
        <v>5.6220000000000003E-3</v>
      </c>
    </row>
    <row r="174" spans="1:31" x14ac:dyDescent="0.25">
      <c r="A174">
        <v>1010474</v>
      </c>
      <c r="B174">
        <v>10429</v>
      </c>
      <c r="C174" t="s">
        <v>43</v>
      </c>
      <c r="D174" t="str">
        <f t="shared" si="15"/>
        <v>NAT_FOR</v>
      </c>
      <c r="E174">
        <v>100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tr">
        <f t="shared" si="16"/>
        <v>NotLake</v>
      </c>
      <c r="AA174">
        <v>42</v>
      </c>
      <c r="AB174">
        <v>1544781.51786</v>
      </c>
      <c r="AC174">
        <v>599.71826099999998</v>
      </c>
      <c r="AD174">
        <v>20315.049479000001</v>
      </c>
      <c r="AE174">
        <v>2.0315E-2</v>
      </c>
    </row>
    <row r="175" spans="1:31" x14ac:dyDescent="0.25">
      <c r="A175">
        <v>1010490</v>
      </c>
      <c r="B175">
        <v>10696</v>
      </c>
      <c r="C175" t="s">
        <v>44</v>
      </c>
      <c r="D175" t="str">
        <f t="shared" si="15"/>
        <v>SCRUB</v>
      </c>
      <c r="E175">
        <v>0</v>
      </c>
      <c r="F175">
        <v>0</v>
      </c>
      <c r="G175">
        <v>0</v>
      </c>
      <c r="H175">
        <v>100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tr">
        <f t="shared" si="16"/>
        <v>NotLake</v>
      </c>
      <c r="AA175">
        <v>43</v>
      </c>
      <c r="AB175">
        <v>1010666.12703</v>
      </c>
      <c r="AC175">
        <v>504.72100899999998</v>
      </c>
      <c r="AD175">
        <v>13890.363761000001</v>
      </c>
      <c r="AE175">
        <v>1.389E-2</v>
      </c>
    </row>
    <row r="176" spans="1:31" x14ac:dyDescent="0.25">
      <c r="A176">
        <v>1010665</v>
      </c>
      <c r="B176">
        <v>10695</v>
      </c>
      <c r="C176" t="s">
        <v>44</v>
      </c>
      <c r="D176" t="str">
        <f t="shared" si="15"/>
        <v>SCRUB</v>
      </c>
      <c r="E176">
        <v>0</v>
      </c>
      <c r="F176">
        <v>0</v>
      </c>
      <c r="G176">
        <v>0</v>
      </c>
      <c r="H176">
        <v>100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tr">
        <f t="shared" si="16"/>
        <v>NotLake</v>
      </c>
      <c r="AA176">
        <v>47</v>
      </c>
      <c r="AB176">
        <v>362365.16101899999</v>
      </c>
      <c r="AC176">
        <v>410.40120000000002</v>
      </c>
      <c r="AD176">
        <v>5744.5530689999996</v>
      </c>
      <c r="AE176">
        <v>5.7450000000000001E-3</v>
      </c>
    </row>
    <row r="177" spans="1:31" x14ac:dyDescent="0.25">
      <c r="A177">
        <v>1010422</v>
      </c>
      <c r="B177">
        <v>10701</v>
      </c>
      <c r="C177" t="s">
        <v>44</v>
      </c>
      <c r="D177" t="str">
        <f t="shared" si="15"/>
        <v>SCRUB</v>
      </c>
      <c r="E177">
        <v>0</v>
      </c>
      <c r="F177">
        <v>0</v>
      </c>
      <c r="G177">
        <v>0</v>
      </c>
      <c r="H177">
        <v>100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t="str">
        <f t="shared" si="16"/>
        <v>NotLake</v>
      </c>
      <c r="AA177">
        <v>37</v>
      </c>
      <c r="AB177">
        <v>155554.77942400001</v>
      </c>
      <c r="AC177">
        <v>601.45422900000005</v>
      </c>
      <c r="AD177">
        <v>18858.007447</v>
      </c>
      <c r="AE177">
        <v>1.8858E-2</v>
      </c>
    </row>
    <row r="178" spans="1:31" x14ac:dyDescent="0.25">
      <c r="A178">
        <v>1010847</v>
      </c>
      <c r="B178">
        <v>10694</v>
      </c>
      <c r="C178" t="s">
        <v>44</v>
      </c>
      <c r="D178" t="str">
        <f t="shared" si="15"/>
        <v>SCRUB</v>
      </c>
      <c r="E178">
        <v>0</v>
      </c>
      <c r="F178">
        <v>0</v>
      </c>
      <c r="G178">
        <v>0</v>
      </c>
      <c r="H178">
        <v>100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tr">
        <f t="shared" si="16"/>
        <v>NotLake</v>
      </c>
      <c r="AA178">
        <v>48</v>
      </c>
      <c r="AB178">
        <v>499037.49365199998</v>
      </c>
      <c r="AC178">
        <v>732.02668300000005</v>
      </c>
      <c r="AD178">
        <v>18774.934794000001</v>
      </c>
      <c r="AE178">
        <v>1.8775E-2</v>
      </c>
    </row>
    <row r="179" spans="1:31" x14ac:dyDescent="0.25">
      <c r="A179">
        <v>1009698</v>
      </c>
      <c r="B179">
        <v>9480</v>
      </c>
      <c r="C179" t="s">
        <v>42</v>
      </c>
      <c r="D179" t="str">
        <f t="shared" si="15"/>
        <v>PLANT_FOR</v>
      </c>
      <c r="E179">
        <v>0</v>
      </c>
      <c r="F179">
        <v>0</v>
      </c>
      <c r="G179">
        <v>100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tr">
        <f t="shared" si="16"/>
        <v>NotLake</v>
      </c>
      <c r="AA179">
        <v>2</v>
      </c>
      <c r="AB179">
        <v>2613890.82766</v>
      </c>
      <c r="AC179">
        <v>707.38694899999996</v>
      </c>
      <c r="AD179">
        <v>16076.905161999999</v>
      </c>
      <c r="AE179">
        <v>1.6077000000000001E-2</v>
      </c>
    </row>
    <row r="180" spans="1:31" x14ac:dyDescent="0.25">
      <c r="A180">
        <v>1009698</v>
      </c>
      <c r="B180">
        <v>9480</v>
      </c>
      <c r="C180" t="s">
        <v>42</v>
      </c>
      <c r="D180" t="str">
        <f t="shared" si="15"/>
        <v>WATER</v>
      </c>
      <c r="E180">
        <v>0</v>
      </c>
      <c r="F180">
        <v>0</v>
      </c>
      <c r="G180">
        <v>100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25</v>
      </c>
      <c r="Z180" t="str">
        <f t="shared" si="16"/>
        <v>Lake</v>
      </c>
      <c r="AA180">
        <v>2</v>
      </c>
      <c r="AB180">
        <v>2613890.82766</v>
      </c>
      <c r="AC180">
        <v>523.79634699999997</v>
      </c>
      <c r="AD180">
        <v>2118.7907959999998</v>
      </c>
      <c r="AE180">
        <v>2.1189999999999998E-3</v>
      </c>
    </row>
    <row r="181" spans="1:31" x14ac:dyDescent="0.25">
      <c r="A181">
        <v>1009885</v>
      </c>
      <c r="B181">
        <v>9905</v>
      </c>
      <c r="C181" t="s">
        <v>43</v>
      </c>
      <c r="D181" t="str">
        <f t="shared" si="15"/>
        <v>NAT_FOR</v>
      </c>
      <c r="E181">
        <v>100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t="str">
        <f t="shared" si="16"/>
        <v>NotLake</v>
      </c>
      <c r="AA181">
        <v>11</v>
      </c>
      <c r="AB181">
        <v>303926.051056</v>
      </c>
      <c r="AC181">
        <v>427.134725</v>
      </c>
      <c r="AD181">
        <v>7467.2942249999996</v>
      </c>
      <c r="AE181">
        <v>7.4669999999999997E-3</v>
      </c>
    </row>
    <row r="182" spans="1:31" x14ac:dyDescent="0.25">
      <c r="A182">
        <v>1010139</v>
      </c>
      <c r="B182">
        <v>9961</v>
      </c>
      <c r="C182" t="s">
        <v>43</v>
      </c>
      <c r="D182" t="str">
        <f t="shared" si="15"/>
        <v>NAT_FOR</v>
      </c>
      <c r="E182">
        <v>100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t="str">
        <f t="shared" si="16"/>
        <v>NotLake</v>
      </c>
      <c r="AA182">
        <v>15</v>
      </c>
      <c r="AB182">
        <v>1662601.4959199999</v>
      </c>
      <c r="AC182">
        <v>610.32575199999997</v>
      </c>
      <c r="AD182">
        <v>10389.036725</v>
      </c>
      <c r="AE182">
        <v>1.0389000000000001E-2</v>
      </c>
    </row>
    <row r="183" spans="1:31" x14ac:dyDescent="0.25">
      <c r="A183">
        <v>1009665</v>
      </c>
      <c r="B183">
        <v>9527</v>
      </c>
      <c r="C183" t="s">
        <v>46</v>
      </c>
      <c r="D183" t="str">
        <f t="shared" si="15"/>
        <v>WATER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100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t="str">
        <f t="shared" si="16"/>
        <v>NotLake</v>
      </c>
      <c r="AA183">
        <v>1</v>
      </c>
      <c r="AB183">
        <v>460381.55421099998</v>
      </c>
      <c r="AC183">
        <v>76.626078000000007</v>
      </c>
      <c r="AD183">
        <v>81.378758000000005</v>
      </c>
      <c r="AE183">
        <v>8.1000000000000004E-5</v>
      </c>
    </row>
    <row r="184" spans="1:31" x14ac:dyDescent="0.25">
      <c r="A184">
        <v>1009665</v>
      </c>
      <c r="B184">
        <v>9527</v>
      </c>
      <c r="C184" t="s">
        <v>46</v>
      </c>
      <c r="D184" t="str">
        <f t="shared" si="15"/>
        <v>WATER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25</v>
      </c>
      <c r="Z184" t="str">
        <f t="shared" si="16"/>
        <v>Lake</v>
      </c>
      <c r="AA184">
        <v>1</v>
      </c>
      <c r="AB184">
        <v>460381.55421099998</v>
      </c>
      <c r="AC184">
        <v>700.36338599999999</v>
      </c>
      <c r="AD184">
        <v>17763.445176000001</v>
      </c>
      <c r="AE184">
        <v>1.7763000000000001E-2</v>
      </c>
    </row>
    <row r="185" spans="1:31" x14ac:dyDescent="0.25">
      <c r="A185">
        <v>1010300</v>
      </c>
      <c r="B185">
        <v>10371</v>
      </c>
      <c r="C185" t="s">
        <v>43</v>
      </c>
      <c r="D185" t="str">
        <f t="shared" si="15"/>
        <v>NAT_FOR</v>
      </c>
      <c r="E185">
        <v>100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tr">
        <f t="shared" si="16"/>
        <v>NotLake</v>
      </c>
      <c r="AA185">
        <v>22</v>
      </c>
      <c r="AB185">
        <v>811054.57942700002</v>
      </c>
      <c r="AC185">
        <v>245.79271</v>
      </c>
      <c r="AD185">
        <v>2635.7972650000002</v>
      </c>
      <c r="AE185">
        <v>2.6359999999999999E-3</v>
      </c>
    </row>
    <row r="186" spans="1:31" x14ac:dyDescent="0.25">
      <c r="A186">
        <v>1010306</v>
      </c>
      <c r="B186">
        <v>10370</v>
      </c>
      <c r="C186" t="s">
        <v>43</v>
      </c>
      <c r="D186" t="str">
        <f t="shared" si="15"/>
        <v>NAT_FOR</v>
      </c>
      <c r="E186">
        <v>100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tr">
        <f t="shared" si="16"/>
        <v>NotLake</v>
      </c>
      <c r="AA186">
        <v>24</v>
      </c>
      <c r="AB186">
        <v>133978.16968799999</v>
      </c>
      <c r="AC186">
        <v>509.00352900000001</v>
      </c>
      <c r="AD186">
        <v>14762.019410999999</v>
      </c>
      <c r="AE186">
        <v>1.4762000000000001E-2</v>
      </c>
    </row>
    <row r="187" spans="1:31" x14ac:dyDescent="0.25">
      <c r="A187">
        <v>1010306</v>
      </c>
      <c r="B187">
        <v>10370</v>
      </c>
      <c r="C187" t="s">
        <v>43</v>
      </c>
      <c r="D187" t="str">
        <f t="shared" si="15"/>
        <v>WATER</v>
      </c>
      <c r="E187">
        <v>100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25</v>
      </c>
      <c r="Z187" t="str">
        <f t="shared" si="16"/>
        <v>Lake</v>
      </c>
      <c r="AA187">
        <v>24</v>
      </c>
      <c r="AB187">
        <v>133978.16968799999</v>
      </c>
      <c r="AC187">
        <v>80.183806000000004</v>
      </c>
      <c r="AD187">
        <v>98.570826999999994</v>
      </c>
      <c r="AE187">
        <v>9.8999999999999994E-5</v>
      </c>
    </row>
    <row r="188" spans="1:31" x14ac:dyDescent="0.25">
      <c r="A188">
        <v>1010139</v>
      </c>
      <c r="B188">
        <v>9961</v>
      </c>
      <c r="C188" t="s">
        <v>43</v>
      </c>
      <c r="D188" t="str">
        <f t="shared" si="15"/>
        <v>NAT_FOR</v>
      </c>
      <c r="E188">
        <v>100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tr">
        <f t="shared" si="16"/>
        <v>NotLake</v>
      </c>
      <c r="AA188">
        <v>15</v>
      </c>
      <c r="AB188">
        <v>1662601.4959199999</v>
      </c>
      <c r="AC188">
        <v>222.30620300000001</v>
      </c>
      <c r="AD188">
        <v>2284.9193169999999</v>
      </c>
      <c r="AE188">
        <v>2.2850000000000001E-3</v>
      </c>
    </row>
    <row r="189" spans="1:31" x14ac:dyDescent="0.25">
      <c r="A189">
        <v>1009665</v>
      </c>
      <c r="B189">
        <v>9527</v>
      </c>
      <c r="C189" t="s">
        <v>42</v>
      </c>
      <c r="D189" t="str">
        <f t="shared" si="15"/>
        <v>PLANT_FOR</v>
      </c>
      <c r="E189">
        <v>0</v>
      </c>
      <c r="F189">
        <v>0</v>
      </c>
      <c r="G189">
        <v>100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tr">
        <f t="shared" si="16"/>
        <v>NotLake</v>
      </c>
      <c r="AA189">
        <v>1</v>
      </c>
      <c r="AB189">
        <v>460381.55421099998</v>
      </c>
      <c r="AC189">
        <v>25.698833</v>
      </c>
      <c r="AD189">
        <v>12.645949999999999</v>
      </c>
      <c r="AE189">
        <v>1.2999999999999999E-5</v>
      </c>
    </row>
    <row r="190" spans="1:31" x14ac:dyDescent="0.25">
      <c r="A190">
        <v>1009665</v>
      </c>
      <c r="B190">
        <v>9527</v>
      </c>
      <c r="C190" t="s">
        <v>42</v>
      </c>
      <c r="D190" t="str">
        <f t="shared" si="15"/>
        <v>WATER</v>
      </c>
      <c r="E190">
        <v>0</v>
      </c>
      <c r="F190">
        <v>0</v>
      </c>
      <c r="G190">
        <v>100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25</v>
      </c>
      <c r="Z190" t="str">
        <f t="shared" si="16"/>
        <v>Lake</v>
      </c>
      <c r="AA190">
        <v>1</v>
      </c>
      <c r="AB190">
        <v>460381.55421099998</v>
      </c>
      <c r="AC190">
        <v>38.711804999999998</v>
      </c>
      <c r="AD190">
        <v>20.965719</v>
      </c>
      <c r="AE190">
        <v>2.0999999999999999E-5</v>
      </c>
    </row>
    <row r="191" spans="1:31" x14ac:dyDescent="0.25">
      <c r="A191">
        <v>1009710</v>
      </c>
      <c r="B191">
        <v>9610</v>
      </c>
      <c r="C191" t="s">
        <v>42</v>
      </c>
      <c r="D191" t="str">
        <f t="shared" si="15"/>
        <v>PLANT_FOR</v>
      </c>
      <c r="E191">
        <v>0</v>
      </c>
      <c r="F191">
        <v>0</v>
      </c>
      <c r="G191">
        <v>100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tr">
        <f t="shared" si="16"/>
        <v>NotLake</v>
      </c>
      <c r="AA191">
        <v>4</v>
      </c>
      <c r="AB191">
        <v>624933.80375199998</v>
      </c>
      <c r="AC191">
        <v>936.58135000000004</v>
      </c>
      <c r="AD191">
        <v>7134.0322560000004</v>
      </c>
      <c r="AE191">
        <v>7.1339999999999997E-3</v>
      </c>
    </row>
    <row r="192" spans="1:31" x14ac:dyDescent="0.25">
      <c r="A192">
        <v>1009710</v>
      </c>
      <c r="B192">
        <v>9610</v>
      </c>
      <c r="C192" t="s">
        <v>42</v>
      </c>
      <c r="D192" t="str">
        <f t="shared" si="15"/>
        <v>WATER</v>
      </c>
      <c r="E192">
        <v>0</v>
      </c>
      <c r="F192">
        <v>0</v>
      </c>
      <c r="G192">
        <v>100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25</v>
      </c>
      <c r="Z192" t="str">
        <f t="shared" si="16"/>
        <v>Lake</v>
      </c>
      <c r="AA192">
        <v>4</v>
      </c>
      <c r="AB192">
        <v>624933.80375199998</v>
      </c>
      <c r="AC192">
        <v>1019.9920499999999</v>
      </c>
      <c r="AD192">
        <v>9344.2720260000006</v>
      </c>
      <c r="AE192">
        <v>9.3439999999999999E-3</v>
      </c>
    </row>
    <row r="193" spans="1:31" x14ac:dyDescent="0.25">
      <c r="A193">
        <v>1010139</v>
      </c>
      <c r="B193">
        <v>9961</v>
      </c>
      <c r="C193" t="s">
        <v>43</v>
      </c>
      <c r="D193" t="str">
        <f t="shared" si="15"/>
        <v>NAT_FOR</v>
      </c>
      <c r="E193">
        <v>100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t="str">
        <f t="shared" si="16"/>
        <v>NotLake</v>
      </c>
      <c r="AA193">
        <v>15</v>
      </c>
      <c r="AB193">
        <v>1662601.4959199999</v>
      </c>
      <c r="AC193">
        <v>682.892245</v>
      </c>
      <c r="AD193">
        <v>15373.550888</v>
      </c>
      <c r="AE193">
        <v>1.5374000000000001E-2</v>
      </c>
    </row>
    <row r="194" spans="1:31" x14ac:dyDescent="0.25">
      <c r="A194">
        <v>1009665</v>
      </c>
      <c r="B194">
        <v>9527</v>
      </c>
      <c r="C194" t="s">
        <v>42</v>
      </c>
      <c r="D194" t="str">
        <f t="shared" si="15"/>
        <v>PLANT_FOR</v>
      </c>
      <c r="E194">
        <v>0</v>
      </c>
      <c r="F194">
        <v>0</v>
      </c>
      <c r="G194">
        <v>100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t="str">
        <f t="shared" si="16"/>
        <v>NotLake</v>
      </c>
      <c r="AA194">
        <v>1</v>
      </c>
      <c r="AB194">
        <v>460381.55421099998</v>
      </c>
      <c r="AC194">
        <v>1307.551369</v>
      </c>
      <c r="AD194">
        <v>11442.747633000001</v>
      </c>
      <c r="AE194">
        <v>1.1443E-2</v>
      </c>
    </row>
    <row r="195" spans="1:31" x14ac:dyDescent="0.25">
      <c r="A195">
        <v>1009665</v>
      </c>
      <c r="B195">
        <v>9527</v>
      </c>
      <c r="C195" t="s">
        <v>42</v>
      </c>
      <c r="D195" t="str">
        <f t="shared" ref="D195:D258" si="17">IF(Y195=0,C195,"WATER")</f>
        <v>WATER</v>
      </c>
      <c r="E195">
        <v>0</v>
      </c>
      <c r="F195">
        <v>0</v>
      </c>
      <c r="G195">
        <v>100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25</v>
      </c>
      <c r="Z195" t="str">
        <f t="shared" ref="Z195:Z258" si="18">IF(Y195=0,"NotLake","Lake")</f>
        <v>Lake</v>
      </c>
      <c r="AA195">
        <v>1</v>
      </c>
      <c r="AB195">
        <v>460381.55421099998</v>
      </c>
      <c r="AC195">
        <v>730.42874700000004</v>
      </c>
      <c r="AD195">
        <v>3722.5370320000002</v>
      </c>
      <c r="AE195">
        <v>3.7230000000000002E-3</v>
      </c>
    </row>
    <row r="196" spans="1:31" x14ac:dyDescent="0.25">
      <c r="A196">
        <v>1010288</v>
      </c>
      <c r="B196">
        <v>10178</v>
      </c>
      <c r="C196" t="s">
        <v>43</v>
      </c>
      <c r="D196" t="str">
        <f t="shared" si="17"/>
        <v>NAT_FOR</v>
      </c>
      <c r="E196">
        <v>100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tr">
        <f t="shared" si="18"/>
        <v>NotLake</v>
      </c>
      <c r="AA196">
        <v>20</v>
      </c>
      <c r="AB196">
        <v>1401826.08345</v>
      </c>
      <c r="AC196">
        <v>561.30019700000003</v>
      </c>
      <c r="AD196">
        <v>13744.317625</v>
      </c>
      <c r="AE196">
        <v>1.3743999999999999E-2</v>
      </c>
    </row>
    <row r="197" spans="1:31" x14ac:dyDescent="0.25">
      <c r="A197">
        <v>1010301</v>
      </c>
      <c r="B197">
        <v>10173</v>
      </c>
      <c r="C197" t="s">
        <v>43</v>
      </c>
      <c r="D197" t="str">
        <f t="shared" si="17"/>
        <v>NAT_FOR</v>
      </c>
      <c r="E197">
        <v>100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t="str">
        <f t="shared" si="18"/>
        <v>NotLake</v>
      </c>
      <c r="AA197">
        <v>23</v>
      </c>
      <c r="AB197">
        <v>425314.40753199998</v>
      </c>
      <c r="AC197">
        <v>159.52292499999999</v>
      </c>
      <c r="AD197">
        <v>1339.9949810000001</v>
      </c>
      <c r="AE197">
        <v>1.34E-3</v>
      </c>
    </row>
    <row r="198" spans="1:31" x14ac:dyDescent="0.25">
      <c r="A198">
        <v>1009840</v>
      </c>
      <c r="B198">
        <v>10134</v>
      </c>
      <c r="C198" t="s">
        <v>44</v>
      </c>
      <c r="D198" t="str">
        <f t="shared" si="17"/>
        <v>SCRUB</v>
      </c>
      <c r="E198">
        <v>0</v>
      </c>
      <c r="F198">
        <v>0</v>
      </c>
      <c r="G198">
        <v>0</v>
      </c>
      <c r="H198">
        <v>100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 t="str">
        <f t="shared" si="18"/>
        <v>NotLake</v>
      </c>
      <c r="AA198">
        <v>10</v>
      </c>
      <c r="AB198">
        <v>2209249.6887300001</v>
      </c>
      <c r="AC198">
        <v>766.21906000000001</v>
      </c>
      <c r="AD198">
        <v>13790.208375</v>
      </c>
      <c r="AE198">
        <v>1.379E-2</v>
      </c>
    </row>
    <row r="199" spans="1:31" x14ac:dyDescent="0.25">
      <c r="A199">
        <v>1009840</v>
      </c>
      <c r="B199">
        <v>10134</v>
      </c>
      <c r="C199" t="s">
        <v>44</v>
      </c>
      <c r="D199" t="str">
        <f t="shared" si="17"/>
        <v>WATER</v>
      </c>
      <c r="E199">
        <v>0</v>
      </c>
      <c r="F199">
        <v>0</v>
      </c>
      <c r="G199">
        <v>0</v>
      </c>
      <c r="H199">
        <v>100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25</v>
      </c>
      <c r="Z199" t="str">
        <f t="shared" si="18"/>
        <v>Lake</v>
      </c>
      <c r="AA199">
        <v>10</v>
      </c>
      <c r="AB199">
        <v>2209249.6887300001</v>
      </c>
      <c r="AC199">
        <v>285.52839499999999</v>
      </c>
      <c r="AD199">
        <v>1100.528341</v>
      </c>
      <c r="AE199">
        <v>1.101E-3</v>
      </c>
    </row>
    <row r="200" spans="1:31" x14ac:dyDescent="0.25">
      <c r="A200">
        <v>1010847</v>
      </c>
      <c r="B200">
        <v>10694</v>
      </c>
      <c r="C200" t="s">
        <v>43</v>
      </c>
      <c r="D200" t="str">
        <f t="shared" si="17"/>
        <v>NAT_FOR</v>
      </c>
      <c r="E200">
        <v>100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t="str">
        <f t="shared" si="18"/>
        <v>NotLake</v>
      </c>
      <c r="AA200">
        <v>48</v>
      </c>
      <c r="AB200">
        <v>499037.49365199998</v>
      </c>
      <c r="AC200">
        <v>582.105323</v>
      </c>
      <c r="AD200">
        <v>9902.5361740000008</v>
      </c>
      <c r="AE200">
        <v>9.9030000000000003E-3</v>
      </c>
    </row>
    <row r="201" spans="1:31" x14ac:dyDescent="0.25">
      <c r="A201">
        <v>1010848</v>
      </c>
      <c r="B201">
        <v>10614</v>
      </c>
      <c r="C201" t="s">
        <v>43</v>
      </c>
      <c r="D201" t="str">
        <f t="shared" si="17"/>
        <v>NAT_FOR</v>
      </c>
      <c r="E201">
        <v>100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tr">
        <f t="shared" si="18"/>
        <v>NotLake</v>
      </c>
      <c r="AA201">
        <v>49</v>
      </c>
      <c r="AB201">
        <v>520619.811216</v>
      </c>
      <c r="AC201">
        <v>439.15928600000001</v>
      </c>
      <c r="AD201">
        <v>3439.1604659999998</v>
      </c>
      <c r="AE201">
        <v>3.4390000000000002E-3</v>
      </c>
    </row>
    <row r="202" spans="1:31" x14ac:dyDescent="0.25">
      <c r="A202">
        <v>1010490</v>
      </c>
      <c r="B202">
        <v>10696</v>
      </c>
      <c r="C202" t="s">
        <v>47</v>
      </c>
      <c r="D202" t="str">
        <f t="shared" si="17"/>
        <v>OTHER</v>
      </c>
      <c r="E202">
        <v>0</v>
      </c>
      <c r="F202">
        <v>100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t="str">
        <f t="shared" si="18"/>
        <v>NotLake</v>
      </c>
      <c r="AA202">
        <v>43</v>
      </c>
      <c r="AB202">
        <v>1010666.12703</v>
      </c>
      <c r="AC202">
        <v>576.04593799999998</v>
      </c>
      <c r="AD202">
        <v>11384.357672</v>
      </c>
      <c r="AE202">
        <v>1.1384E-2</v>
      </c>
    </row>
    <row r="203" spans="1:31" x14ac:dyDescent="0.25">
      <c r="A203">
        <v>1010461</v>
      </c>
      <c r="B203">
        <v>10402</v>
      </c>
      <c r="C203" t="s">
        <v>43</v>
      </c>
      <c r="D203" t="str">
        <f t="shared" si="17"/>
        <v>NAT_FOR</v>
      </c>
      <c r="E203">
        <v>100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t="str">
        <f t="shared" si="18"/>
        <v>NotLake</v>
      </c>
      <c r="AA203">
        <v>40</v>
      </c>
      <c r="AB203">
        <v>938753.97368599998</v>
      </c>
      <c r="AC203">
        <v>445.93817799999999</v>
      </c>
      <c r="AD203">
        <v>13517.510139</v>
      </c>
      <c r="AE203">
        <v>1.3518000000000001E-2</v>
      </c>
    </row>
    <row r="204" spans="1:31" x14ac:dyDescent="0.25">
      <c r="A204">
        <v>1010461</v>
      </c>
      <c r="B204">
        <v>10402</v>
      </c>
      <c r="C204" t="s">
        <v>43</v>
      </c>
      <c r="D204" t="str">
        <f t="shared" si="17"/>
        <v>NAT_FOR</v>
      </c>
      <c r="E204">
        <v>100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t="str">
        <f t="shared" si="18"/>
        <v>NotLake</v>
      </c>
      <c r="AA204">
        <v>40</v>
      </c>
      <c r="AB204">
        <v>938753.97368599998</v>
      </c>
      <c r="AC204">
        <v>36.380011000000003</v>
      </c>
      <c r="AD204">
        <v>34.194268999999998</v>
      </c>
      <c r="AE204">
        <v>3.4E-5</v>
      </c>
    </row>
    <row r="205" spans="1:31" x14ac:dyDescent="0.25">
      <c r="A205">
        <v>1009885</v>
      </c>
      <c r="B205">
        <v>9905</v>
      </c>
      <c r="C205" t="s">
        <v>43</v>
      </c>
      <c r="D205" t="str">
        <f t="shared" si="17"/>
        <v>NAT_FOR</v>
      </c>
      <c r="E205">
        <v>100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tr">
        <f t="shared" si="18"/>
        <v>NotLake</v>
      </c>
      <c r="AA205">
        <v>11</v>
      </c>
      <c r="AB205">
        <v>303926.051056</v>
      </c>
      <c r="AC205">
        <v>334.09252199999997</v>
      </c>
      <c r="AD205">
        <v>4257.6513029999996</v>
      </c>
      <c r="AE205">
        <v>4.2579999999999996E-3</v>
      </c>
    </row>
    <row r="206" spans="1:31" x14ac:dyDescent="0.25">
      <c r="A206">
        <v>1010474</v>
      </c>
      <c r="B206">
        <v>10429</v>
      </c>
      <c r="C206" t="s">
        <v>43</v>
      </c>
      <c r="D206" t="str">
        <f t="shared" si="17"/>
        <v>NAT_FOR</v>
      </c>
      <c r="E206">
        <v>100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t="str">
        <f t="shared" si="18"/>
        <v>NotLake</v>
      </c>
      <c r="AA206">
        <v>42</v>
      </c>
      <c r="AB206">
        <v>1544781.51786</v>
      </c>
      <c r="AC206">
        <v>427.67725200000001</v>
      </c>
      <c r="AD206">
        <v>12396.971694</v>
      </c>
      <c r="AE206">
        <v>1.2397E-2</v>
      </c>
    </row>
    <row r="207" spans="1:31" x14ac:dyDescent="0.25">
      <c r="A207">
        <v>1010660</v>
      </c>
      <c r="B207">
        <v>10449</v>
      </c>
      <c r="C207" t="s">
        <v>44</v>
      </c>
      <c r="D207" t="str">
        <f t="shared" si="17"/>
        <v>SCRUB</v>
      </c>
      <c r="E207">
        <v>0</v>
      </c>
      <c r="F207">
        <v>0</v>
      </c>
      <c r="G207">
        <v>0</v>
      </c>
      <c r="H207">
        <v>100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t="str">
        <f t="shared" si="18"/>
        <v>NotLake</v>
      </c>
      <c r="AA207">
        <v>46</v>
      </c>
      <c r="AB207">
        <v>513427.38872300001</v>
      </c>
      <c r="AC207">
        <v>39.735866000000001</v>
      </c>
      <c r="AD207">
        <v>61.749532000000002</v>
      </c>
      <c r="AE207">
        <v>6.2000000000000003E-5</v>
      </c>
    </row>
    <row r="208" spans="1:31" x14ac:dyDescent="0.25">
      <c r="A208">
        <v>1010848</v>
      </c>
      <c r="B208">
        <v>10614</v>
      </c>
      <c r="C208" t="s">
        <v>44</v>
      </c>
      <c r="D208" t="str">
        <f t="shared" si="17"/>
        <v>SCRUB</v>
      </c>
      <c r="E208">
        <v>0</v>
      </c>
      <c r="F208">
        <v>0</v>
      </c>
      <c r="G208">
        <v>0</v>
      </c>
      <c r="H208">
        <v>100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t="str">
        <f t="shared" si="18"/>
        <v>NotLake</v>
      </c>
      <c r="AA208">
        <v>49</v>
      </c>
      <c r="AB208">
        <v>520619.811216</v>
      </c>
      <c r="AC208">
        <v>692.86546399999997</v>
      </c>
      <c r="AD208">
        <v>12175.426024</v>
      </c>
      <c r="AE208">
        <v>1.2175E-2</v>
      </c>
    </row>
    <row r="209" spans="1:31" x14ac:dyDescent="0.25">
      <c r="A209">
        <v>1010548</v>
      </c>
      <c r="B209">
        <v>10318</v>
      </c>
      <c r="C209" t="s">
        <v>44</v>
      </c>
      <c r="D209" t="str">
        <f t="shared" si="17"/>
        <v>SCRUB</v>
      </c>
      <c r="E209">
        <v>0</v>
      </c>
      <c r="F209">
        <v>0</v>
      </c>
      <c r="G209">
        <v>0</v>
      </c>
      <c r="H209">
        <v>100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 t="str">
        <f t="shared" si="18"/>
        <v>NotLake</v>
      </c>
      <c r="AA209">
        <v>44</v>
      </c>
      <c r="AB209">
        <v>254468.65062599999</v>
      </c>
      <c r="AC209">
        <v>464.05604</v>
      </c>
      <c r="AD209">
        <v>12150.338960999999</v>
      </c>
      <c r="AE209">
        <v>1.2149999999999999E-2</v>
      </c>
    </row>
    <row r="210" spans="1:31" x14ac:dyDescent="0.25">
      <c r="A210">
        <v>1010139</v>
      </c>
      <c r="B210">
        <v>9961</v>
      </c>
      <c r="C210" t="s">
        <v>42</v>
      </c>
      <c r="D210" t="str">
        <f t="shared" si="17"/>
        <v>PLANT_FOR</v>
      </c>
      <c r="E210">
        <v>0</v>
      </c>
      <c r="F210">
        <v>0</v>
      </c>
      <c r="G210">
        <v>100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t="str">
        <f t="shared" si="18"/>
        <v>NotLake</v>
      </c>
      <c r="AA210">
        <v>15</v>
      </c>
      <c r="AB210">
        <v>1662601.4959199999</v>
      </c>
      <c r="AC210">
        <v>693.63291200000003</v>
      </c>
      <c r="AD210">
        <v>9677.4132279999994</v>
      </c>
      <c r="AE210">
        <v>9.6769999999999998E-3</v>
      </c>
    </row>
    <row r="211" spans="1:31" x14ac:dyDescent="0.25">
      <c r="A211">
        <v>1010140</v>
      </c>
      <c r="B211">
        <v>9960</v>
      </c>
      <c r="C211" t="s">
        <v>42</v>
      </c>
      <c r="D211" t="str">
        <f t="shared" si="17"/>
        <v>PLANT_FOR</v>
      </c>
      <c r="E211">
        <v>0</v>
      </c>
      <c r="F211">
        <v>0</v>
      </c>
      <c r="G211">
        <v>100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t="str">
        <f t="shared" si="18"/>
        <v>NotLake</v>
      </c>
      <c r="AA211">
        <v>16</v>
      </c>
      <c r="AB211">
        <v>369568.60371699999</v>
      </c>
      <c r="AC211">
        <v>451.562997</v>
      </c>
      <c r="AD211">
        <v>2098.388567</v>
      </c>
      <c r="AE211">
        <v>2.098E-3</v>
      </c>
    </row>
    <row r="212" spans="1:31" x14ac:dyDescent="0.25">
      <c r="A212">
        <v>1010461</v>
      </c>
      <c r="B212">
        <v>10402</v>
      </c>
      <c r="C212" t="s">
        <v>43</v>
      </c>
      <c r="D212" t="str">
        <f t="shared" si="17"/>
        <v>NAT_FOR</v>
      </c>
      <c r="E212">
        <v>100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tr">
        <f t="shared" si="18"/>
        <v>NotLake</v>
      </c>
      <c r="AA212">
        <v>40</v>
      </c>
      <c r="AB212">
        <v>938753.97368599998</v>
      </c>
      <c r="AC212">
        <v>80.699404999999999</v>
      </c>
      <c r="AD212">
        <v>269.55141800000001</v>
      </c>
      <c r="AE212">
        <v>2.7E-4</v>
      </c>
    </row>
    <row r="213" spans="1:31" x14ac:dyDescent="0.25">
      <c r="A213">
        <v>1009885</v>
      </c>
      <c r="B213">
        <v>9905</v>
      </c>
      <c r="C213" t="s">
        <v>43</v>
      </c>
      <c r="D213" t="str">
        <f t="shared" si="17"/>
        <v>NAT_FOR</v>
      </c>
      <c r="E213">
        <v>100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t="str">
        <f t="shared" si="18"/>
        <v>NotLake</v>
      </c>
      <c r="AA213">
        <v>11</v>
      </c>
      <c r="AB213">
        <v>303926.051056</v>
      </c>
      <c r="AC213">
        <v>596.31793700000003</v>
      </c>
      <c r="AD213">
        <v>8854.9540230000002</v>
      </c>
      <c r="AE213">
        <v>8.855E-3</v>
      </c>
    </row>
    <row r="214" spans="1:31" x14ac:dyDescent="0.25">
      <c r="A214">
        <v>1009885</v>
      </c>
      <c r="B214">
        <v>9905</v>
      </c>
      <c r="C214" t="s">
        <v>43</v>
      </c>
      <c r="D214" t="str">
        <f t="shared" si="17"/>
        <v>WATER</v>
      </c>
      <c r="E214">
        <v>100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25</v>
      </c>
      <c r="Z214" t="str">
        <f t="shared" si="18"/>
        <v>Lake</v>
      </c>
      <c r="AA214">
        <v>11</v>
      </c>
      <c r="AB214">
        <v>303926.051056</v>
      </c>
      <c r="AC214">
        <v>295.61671899999999</v>
      </c>
      <c r="AD214">
        <v>1400.991722</v>
      </c>
      <c r="AE214">
        <v>1.4009999999999999E-3</v>
      </c>
    </row>
    <row r="215" spans="1:31" x14ac:dyDescent="0.25">
      <c r="A215">
        <v>1010219</v>
      </c>
      <c r="B215">
        <v>10417</v>
      </c>
      <c r="C215" t="s">
        <v>42</v>
      </c>
      <c r="D215" t="str">
        <f t="shared" si="17"/>
        <v>PLANT_FOR</v>
      </c>
      <c r="E215">
        <v>0</v>
      </c>
      <c r="F215">
        <v>0</v>
      </c>
      <c r="G215">
        <v>100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tr">
        <f t="shared" si="18"/>
        <v>NotLake</v>
      </c>
      <c r="AA215">
        <v>18</v>
      </c>
      <c r="AB215">
        <v>1828937.2124999999</v>
      </c>
      <c r="AC215">
        <v>614.85078599999997</v>
      </c>
      <c r="AD215">
        <v>9074.2625609999996</v>
      </c>
      <c r="AE215">
        <v>9.0740000000000005E-3</v>
      </c>
    </row>
    <row r="216" spans="1:31" x14ac:dyDescent="0.25">
      <c r="A216">
        <v>1010344</v>
      </c>
      <c r="B216">
        <v>10142</v>
      </c>
      <c r="C216" t="s">
        <v>42</v>
      </c>
      <c r="D216" t="str">
        <f t="shared" si="17"/>
        <v>PLANT_FOR</v>
      </c>
      <c r="E216">
        <v>0</v>
      </c>
      <c r="F216">
        <v>0</v>
      </c>
      <c r="G216">
        <v>100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t="str">
        <f t="shared" si="18"/>
        <v>NotLake</v>
      </c>
      <c r="AA216">
        <v>26</v>
      </c>
      <c r="AB216">
        <v>583577.16153899999</v>
      </c>
      <c r="AC216">
        <v>133.16493</v>
      </c>
      <c r="AD216">
        <v>967.66708400000005</v>
      </c>
      <c r="AE216">
        <v>9.68E-4</v>
      </c>
    </row>
    <row r="217" spans="1:31" x14ac:dyDescent="0.25">
      <c r="A217">
        <v>1010474</v>
      </c>
      <c r="B217">
        <v>10429</v>
      </c>
      <c r="C217" t="s">
        <v>43</v>
      </c>
      <c r="D217" t="str">
        <f t="shared" si="17"/>
        <v>NAT_FOR</v>
      </c>
      <c r="E217">
        <v>100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tr">
        <f t="shared" si="18"/>
        <v>NotLake</v>
      </c>
      <c r="AA217">
        <v>42</v>
      </c>
      <c r="AB217">
        <v>1544781.51786</v>
      </c>
      <c r="AC217">
        <v>415.286451</v>
      </c>
      <c r="AD217">
        <v>5318.1781860000001</v>
      </c>
      <c r="AE217">
        <v>5.3179999999999998E-3</v>
      </c>
    </row>
    <row r="218" spans="1:31" x14ac:dyDescent="0.25">
      <c r="A218">
        <v>1010660</v>
      </c>
      <c r="B218">
        <v>10449</v>
      </c>
      <c r="C218" t="s">
        <v>43</v>
      </c>
      <c r="D218" t="str">
        <f t="shared" si="17"/>
        <v>NAT_FOR</v>
      </c>
      <c r="E218">
        <v>100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t="str">
        <f t="shared" si="18"/>
        <v>NotLake</v>
      </c>
      <c r="AA218">
        <v>46</v>
      </c>
      <c r="AB218">
        <v>513427.38872300001</v>
      </c>
      <c r="AC218">
        <v>434.382856</v>
      </c>
      <c r="AD218">
        <v>4566.820858</v>
      </c>
      <c r="AE218">
        <v>4.5669999999999999E-3</v>
      </c>
    </row>
    <row r="219" spans="1:31" x14ac:dyDescent="0.25">
      <c r="A219">
        <v>1010288</v>
      </c>
      <c r="B219">
        <v>10178</v>
      </c>
      <c r="C219" t="s">
        <v>43</v>
      </c>
      <c r="D219" t="str">
        <f t="shared" si="17"/>
        <v>NAT_FOR</v>
      </c>
      <c r="E219">
        <v>100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tr">
        <f t="shared" si="18"/>
        <v>NotLake</v>
      </c>
      <c r="AA219">
        <v>20</v>
      </c>
      <c r="AB219">
        <v>1401826.08345</v>
      </c>
      <c r="AC219">
        <v>587.13930000000005</v>
      </c>
      <c r="AD219">
        <v>9788.6770830000005</v>
      </c>
      <c r="AE219">
        <v>9.7890000000000008E-3</v>
      </c>
    </row>
    <row r="220" spans="1:31" x14ac:dyDescent="0.25">
      <c r="A220">
        <v>1010404</v>
      </c>
      <c r="B220">
        <v>10182</v>
      </c>
      <c r="C220" t="s">
        <v>43</v>
      </c>
      <c r="D220" t="str">
        <f t="shared" si="17"/>
        <v>NAT_FOR</v>
      </c>
      <c r="E220">
        <v>100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tr">
        <f t="shared" si="18"/>
        <v>NotLake</v>
      </c>
      <c r="AA220">
        <v>36</v>
      </c>
      <c r="AB220">
        <v>222100.20581799999</v>
      </c>
      <c r="AC220">
        <v>507.430385</v>
      </c>
      <c r="AD220">
        <v>9611.7859110000009</v>
      </c>
      <c r="AE220">
        <v>9.6120000000000008E-3</v>
      </c>
    </row>
    <row r="221" spans="1:31" x14ac:dyDescent="0.25">
      <c r="A221">
        <v>1010388</v>
      </c>
      <c r="B221">
        <v>10275</v>
      </c>
      <c r="C221" t="s">
        <v>42</v>
      </c>
      <c r="D221" t="str">
        <f t="shared" si="17"/>
        <v>PLANT_FOR</v>
      </c>
      <c r="E221">
        <v>0</v>
      </c>
      <c r="F221">
        <v>0</v>
      </c>
      <c r="G221">
        <v>100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tr">
        <f t="shared" si="18"/>
        <v>NotLake</v>
      </c>
      <c r="AA221">
        <v>34</v>
      </c>
      <c r="AB221">
        <v>445096.22644200001</v>
      </c>
      <c r="AC221">
        <v>552.32097699999997</v>
      </c>
      <c r="AD221">
        <v>9198.5565580000002</v>
      </c>
      <c r="AE221">
        <v>9.1990000000000006E-3</v>
      </c>
    </row>
    <row r="222" spans="1:31" x14ac:dyDescent="0.25">
      <c r="A222">
        <v>1010288</v>
      </c>
      <c r="B222">
        <v>10178</v>
      </c>
      <c r="C222" t="s">
        <v>42</v>
      </c>
      <c r="D222" t="str">
        <f t="shared" si="17"/>
        <v>PLANT_FOR</v>
      </c>
      <c r="E222">
        <v>0</v>
      </c>
      <c r="F222">
        <v>0</v>
      </c>
      <c r="G222">
        <v>100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tr">
        <f t="shared" si="18"/>
        <v>NotLake</v>
      </c>
      <c r="AA222">
        <v>20</v>
      </c>
      <c r="AB222">
        <v>1401826.08345</v>
      </c>
      <c r="AC222">
        <v>458.27568200000002</v>
      </c>
      <c r="AD222">
        <v>8503.463694</v>
      </c>
      <c r="AE222">
        <v>8.5030000000000001E-3</v>
      </c>
    </row>
    <row r="223" spans="1:31" x14ac:dyDescent="0.25">
      <c r="A223">
        <v>1010301</v>
      </c>
      <c r="B223">
        <v>10173</v>
      </c>
      <c r="C223" t="s">
        <v>42</v>
      </c>
      <c r="D223" t="str">
        <f t="shared" si="17"/>
        <v>PLANT_FOR</v>
      </c>
      <c r="E223">
        <v>0</v>
      </c>
      <c r="F223">
        <v>0</v>
      </c>
      <c r="G223">
        <v>100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tr">
        <f t="shared" si="18"/>
        <v>NotLake</v>
      </c>
      <c r="AA223">
        <v>23</v>
      </c>
      <c r="AB223">
        <v>425314.40753199998</v>
      </c>
      <c r="AC223">
        <v>80.691590000000005</v>
      </c>
      <c r="AD223">
        <v>382.665121</v>
      </c>
      <c r="AE223">
        <v>3.8299999999999999E-4</v>
      </c>
    </row>
    <row r="224" spans="1:31" x14ac:dyDescent="0.25">
      <c r="A224">
        <v>1010462</v>
      </c>
      <c r="B224">
        <v>10414</v>
      </c>
      <c r="C224" t="s">
        <v>42</v>
      </c>
      <c r="D224" t="str">
        <f t="shared" si="17"/>
        <v>PLANT_FOR</v>
      </c>
      <c r="E224">
        <v>0</v>
      </c>
      <c r="F224">
        <v>0</v>
      </c>
      <c r="G224">
        <v>100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tr">
        <f t="shared" si="18"/>
        <v>NotLake</v>
      </c>
      <c r="AA224">
        <v>41</v>
      </c>
      <c r="AB224">
        <v>1152767.33971</v>
      </c>
      <c r="AC224">
        <v>355.165369</v>
      </c>
      <c r="AD224">
        <v>8467.1625779999995</v>
      </c>
      <c r="AE224">
        <v>8.4670000000000006E-3</v>
      </c>
    </row>
    <row r="225" spans="1:31" x14ac:dyDescent="0.25">
      <c r="A225">
        <v>1009698</v>
      </c>
      <c r="B225">
        <v>9480</v>
      </c>
      <c r="C225" t="s">
        <v>44</v>
      </c>
      <c r="D225" t="str">
        <f t="shared" si="17"/>
        <v>SCRUB</v>
      </c>
      <c r="E225">
        <v>0</v>
      </c>
      <c r="F225">
        <v>0</v>
      </c>
      <c r="G225">
        <v>0</v>
      </c>
      <c r="H225">
        <v>100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tr">
        <f t="shared" si="18"/>
        <v>NotLake</v>
      </c>
      <c r="AA225">
        <v>2</v>
      </c>
      <c r="AB225">
        <v>2613890.82766</v>
      </c>
      <c r="AC225">
        <v>310.526071</v>
      </c>
      <c r="AD225">
        <v>2236.531665</v>
      </c>
      <c r="AE225">
        <v>2.2369999999999998E-3</v>
      </c>
    </row>
    <row r="226" spans="1:31" x14ac:dyDescent="0.25">
      <c r="A226">
        <v>1010219</v>
      </c>
      <c r="B226">
        <v>10417</v>
      </c>
      <c r="C226" t="s">
        <v>43</v>
      </c>
      <c r="D226" t="str">
        <f t="shared" si="17"/>
        <v>NAT_FOR</v>
      </c>
      <c r="E226">
        <v>100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tr">
        <f t="shared" si="18"/>
        <v>NotLake</v>
      </c>
      <c r="AA226">
        <v>18</v>
      </c>
      <c r="AB226">
        <v>1828937.2124999999</v>
      </c>
      <c r="AC226">
        <v>405.779562</v>
      </c>
      <c r="AD226">
        <v>8039.3796560000001</v>
      </c>
      <c r="AE226">
        <v>8.0389999999999993E-3</v>
      </c>
    </row>
    <row r="227" spans="1:31" x14ac:dyDescent="0.25">
      <c r="A227">
        <v>1010288</v>
      </c>
      <c r="B227">
        <v>10178</v>
      </c>
      <c r="C227" t="s">
        <v>43</v>
      </c>
      <c r="D227" t="str">
        <f t="shared" si="17"/>
        <v>NAT_FOR</v>
      </c>
      <c r="E227">
        <v>100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tr">
        <f t="shared" si="18"/>
        <v>NotLake</v>
      </c>
      <c r="AA227">
        <v>20</v>
      </c>
      <c r="AB227">
        <v>1401826.08345</v>
      </c>
      <c r="AC227">
        <v>43.790827999999998</v>
      </c>
      <c r="AD227">
        <v>58.926760999999999</v>
      </c>
      <c r="AE227">
        <v>5.8999999999999998E-5</v>
      </c>
    </row>
    <row r="228" spans="1:31" x14ac:dyDescent="0.25">
      <c r="A228">
        <v>1009840</v>
      </c>
      <c r="B228">
        <v>10134</v>
      </c>
      <c r="C228" t="s">
        <v>44</v>
      </c>
      <c r="D228" t="str">
        <f t="shared" si="17"/>
        <v>SCRUB</v>
      </c>
      <c r="E228">
        <v>0</v>
      </c>
      <c r="F228">
        <v>0</v>
      </c>
      <c r="G228">
        <v>0</v>
      </c>
      <c r="H228">
        <v>100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tr">
        <f t="shared" si="18"/>
        <v>NotLake</v>
      </c>
      <c r="AA228">
        <v>10</v>
      </c>
      <c r="AB228">
        <v>2209249.6887300001</v>
      </c>
      <c r="AC228">
        <v>351.06416200000001</v>
      </c>
      <c r="AD228">
        <v>7407.438564</v>
      </c>
      <c r="AE228">
        <v>7.4070000000000004E-3</v>
      </c>
    </row>
    <row r="229" spans="1:31" x14ac:dyDescent="0.25">
      <c r="A229">
        <v>1010219</v>
      </c>
      <c r="B229">
        <v>10417</v>
      </c>
      <c r="C229" t="s">
        <v>43</v>
      </c>
      <c r="D229" t="str">
        <f t="shared" si="17"/>
        <v>NAT_FOR</v>
      </c>
      <c r="E229">
        <v>100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t="str">
        <f t="shared" si="18"/>
        <v>NotLake</v>
      </c>
      <c r="AA229">
        <v>18</v>
      </c>
      <c r="AB229">
        <v>1828937.2124999999</v>
      </c>
      <c r="AC229">
        <v>401.46022199999999</v>
      </c>
      <c r="AD229">
        <v>5065.1453970000002</v>
      </c>
      <c r="AE229">
        <v>5.0650000000000001E-3</v>
      </c>
    </row>
    <row r="230" spans="1:31" x14ac:dyDescent="0.25">
      <c r="A230">
        <v>1010288</v>
      </c>
      <c r="B230">
        <v>10178</v>
      </c>
      <c r="C230" t="s">
        <v>43</v>
      </c>
      <c r="D230" t="str">
        <f t="shared" si="17"/>
        <v>NAT_FOR</v>
      </c>
      <c r="E230">
        <v>100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tr">
        <f t="shared" si="18"/>
        <v>NotLake</v>
      </c>
      <c r="AA230">
        <v>20</v>
      </c>
      <c r="AB230">
        <v>1401826.08345</v>
      </c>
      <c r="AC230">
        <v>302.20375300000001</v>
      </c>
      <c r="AD230">
        <v>2358.974905</v>
      </c>
      <c r="AE230">
        <v>2.359E-3</v>
      </c>
    </row>
    <row r="231" spans="1:31" x14ac:dyDescent="0.25">
      <c r="A231">
        <v>1010404</v>
      </c>
      <c r="B231">
        <v>10182</v>
      </c>
      <c r="C231" t="s">
        <v>42</v>
      </c>
      <c r="D231" t="str">
        <f t="shared" si="17"/>
        <v>PLANT_FOR</v>
      </c>
      <c r="E231">
        <v>0</v>
      </c>
      <c r="F231">
        <v>0</v>
      </c>
      <c r="G231">
        <v>100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tr">
        <f t="shared" si="18"/>
        <v>NotLake</v>
      </c>
      <c r="AA231">
        <v>36</v>
      </c>
      <c r="AB231">
        <v>222100.20581799999</v>
      </c>
      <c r="AC231">
        <v>433.84047399999997</v>
      </c>
      <c r="AD231">
        <v>5114.0592239999996</v>
      </c>
      <c r="AE231">
        <v>5.1139999999999996E-3</v>
      </c>
    </row>
    <row r="232" spans="1:31" x14ac:dyDescent="0.25">
      <c r="A232">
        <v>1010461</v>
      </c>
      <c r="B232">
        <v>10402</v>
      </c>
      <c r="C232" t="s">
        <v>42</v>
      </c>
      <c r="D232" t="str">
        <f t="shared" si="17"/>
        <v>PLANT_FOR</v>
      </c>
      <c r="E232">
        <v>0</v>
      </c>
      <c r="F232">
        <v>0</v>
      </c>
      <c r="G232">
        <v>100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tr">
        <f t="shared" si="18"/>
        <v>NotLake</v>
      </c>
      <c r="AA232">
        <v>40</v>
      </c>
      <c r="AB232">
        <v>938753.97368599998</v>
      </c>
      <c r="AC232">
        <v>234.08920499999999</v>
      </c>
      <c r="AD232">
        <v>1822.0781830000001</v>
      </c>
      <c r="AE232">
        <v>1.8220000000000001E-3</v>
      </c>
    </row>
    <row r="233" spans="1:31" x14ac:dyDescent="0.25">
      <c r="A233">
        <v>1010288</v>
      </c>
      <c r="B233">
        <v>10178</v>
      </c>
      <c r="C233" t="s">
        <v>43</v>
      </c>
      <c r="D233" t="str">
        <f t="shared" si="17"/>
        <v>NAT_FOR</v>
      </c>
      <c r="E233">
        <v>100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tr">
        <f t="shared" si="18"/>
        <v>NotLake</v>
      </c>
      <c r="AA233">
        <v>20</v>
      </c>
      <c r="AB233">
        <v>1401826.08345</v>
      </c>
      <c r="AC233">
        <v>198.873862</v>
      </c>
      <c r="AD233">
        <v>1399.697185</v>
      </c>
      <c r="AE233">
        <v>1.4E-3</v>
      </c>
    </row>
    <row r="234" spans="1:31" x14ac:dyDescent="0.25">
      <c r="A234">
        <v>1010301</v>
      </c>
      <c r="B234">
        <v>10173</v>
      </c>
      <c r="C234" t="s">
        <v>43</v>
      </c>
      <c r="D234" t="str">
        <f t="shared" si="17"/>
        <v>NAT_FOR</v>
      </c>
      <c r="E234">
        <v>100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tr">
        <f t="shared" si="18"/>
        <v>NotLake</v>
      </c>
      <c r="AA234">
        <v>23</v>
      </c>
      <c r="AB234">
        <v>425314.40753199998</v>
      </c>
      <c r="AC234">
        <v>322.37581299999999</v>
      </c>
      <c r="AD234">
        <v>3827.3096019999998</v>
      </c>
      <c r="AE234">
        <v>3.8270000000000001E-3</v>
      </c>
    </row>
    <row r="235" spans="1:31" x14ac:dyDescent="0.25">
      <c r="A235">
        <v>1010388</v>
      </c>
      <c r="B235">
        <v>10275</v>
      </c>
      <c r="C235" t="s">
        <v>43</v>
      </c>
      <c r="D235" t="str">
        <f t="shared" si="17"/>
        <v>NAT_FOR</v>
      </c>
      <c r="E235">
        <v>100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tr">
        <f t="shared" si="18"/>
        <v>NotLake</v>
      </c>
      <c r="AA235">
        <v>34</v>
      </c>
      <c r="AB235">
        <v>445096.22644200001</v>
      </c>
      <c r="AC235">
        <v>191.42800199999999</v>
      </c>
      <c r="AD235">
        <v>1557.619068</v>
      </c>
      <c r="AE235">
        <v>1.5579999999999999E-3</v>
      </c>
    </row>
    <row r="236" spans="1:31" x14ac:dyDescent="0.25">
      <c r="A236">
        <v>1010388</v>
      </c>
      <c r="B236">
        <v>10275</v>
      </c>
      <c r="C236" t="s">
        <v>43</v>
      </c>
      <c r="D236" t="str">
        <f t="shared" si="17"/>
        <v>NAT_FOR</v>
      </c>
      <c r="E236">
        <v>100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t="str">
        <f t="shared" si="18"/>
        <v>NotLake</v>
      </c>
      <c r="AA236">
        <v>34</v>
      </c>
      <c r="AB236">
        <v>445096.22644200001</v>
      </c>
      <c r="AC236">
        <v>306.96810699999997</v>
      </c>
      <c r="AD236">
        <v>6410.4936930000003</v>
      </c>
      <c r="AE236">
        <v>6.4099999999999999E-3</v>
      </c>
    </row>
    <row r="237" spans="1:31" x14ac:dyDescent="0.25">
      <c r="A237">
        <v>1010462</v>
      </c>
      <c r="B237">
        <v>10414</v>
      </c>
      <c r="C237" t="s">
        <v>43</v>
      </c>
      <c r="D237" t="str">
        <f t="shared" si="17"/>
        <v>NAT_FOR</v>
      </c>
      <c r="E237">
        <v>100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t="str">
        <f t="shared" si="18"/>
        <v>NotLake</v>
      </c>
      <c r="AA237">
        <v>41</v>
      </c>
      <c r="AB237">
        <v>1152767.33971</v>
      </c>
      <c r="AC237">
        <v>380.60024700000002</v>
      </c>
      <c r="AD237">
        <v>6080.032518</v>
      </c>
      <c r="AE237">
        <v>6.0800000000000003E-3</v>
      </c>
    </row>
    <row r="238" spans="1:31" x14ac:dyDescent="0.25">
      <c r="A238">
        <v>1010462</v>
      </c>
      <c r="B238">
        <v>10414</v>
      </c>
      <c r="C238" t="s">
        <v>43</v>
      </c>
      <c r="D238" t="str">
        <f t="shared" si="17"/>
        <v>NAT_FOR</v>
      </c>
      <c r="E238">
        <v>100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t="str">
        <f t="shared" si="18"/>
        <v>NotLake</v>
      </c>
      <c r="AA238">
        <v>41</v>
      </c>
      <c r="AB238">
        <v>1152767.33971</v>
      </c>
      <c r="AC238">
        <v>257.87651299999999</v>
      </c>
      <c r="AD238">
        <v>2365.6439059999998</v>
      </c>
      <c r="AE238">
        <v>2.366E-3</v>
      </c>
    </row>
    <row r="239" spans="1:31" x14ac:dyDescent="0.25">
      <c r="A239">
        <v>1010474</v>
      </c>
      <c r="B239">
        <v>10429</v>
      </c>
      <c r="C239" t="s">
        <v>44</v>
      </c>
      <c r="D239" t="str">
        <f t="shared" si="17"/>
        <v>SCRUB</v>
      </c>
      <c r="E239">
        <v>0</v>
      </c>
      <c r="F239">
        <v>0</v>
      </c>
      <c r="G239">
        <v>0</v>
      </c>
      <c r="H239">
        <v>100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t="str">
        <f t="shared" si="18"/>
        <v>NotLake</v>
      </c>
      <c r="AA239">
        <v>42</v>
      </c>
      <c r="AB239">
        <v>1544781.51786</v>
      </c>
      <c r="AC239">
        <v>229.44877099999999</v>
      </c>
      <c r="AD239">
        <v>3693.7229670000002</v>
      </c>
      <c r="AE239">
        <v>3.6939999999999998E-3</v>
      </c>
    </row>
    <row r="240" spans="1:31" x14ac:dyDescent="0.25">
      <c r="A240">
        <v>1010461</v>
      </c>
      <c r="B240">
        <v>10402</v>
      </c>
      <c r="C240" t="s">
        <v>33</v>
      </c>
      <c r="D240" t="str">
        <f t="shared" si="17"/>
        <v>DAIRY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tr">
        <f t="shared" si="18"/>
        <v>NotLake</v>
      </c>
      <c r="AA240">
        <v>40</v>
      </c>
      <c r="AB240">
        <v>938753.97368599998</v>
      </c>
      <c r="AC240">
        <v>40.876916999999999</v>
      </c>
      <c r="AD240">
        <v>37.560082999999999</v>
      </c>
      <c r="AE240">
        <v>3.8000000000000002E-5</v>
      </c>
    </row>
    <row r="241" spans="1:31" x14ac:dyDescent="0.25">
      <c r="A241">
        <v>1010139</v>
      </c>
      <c r="B241">
        <v>9961</v>
      </c>
      <c r="C241" t="s">
        <v>33</v>
      </c>
      <c r="D241" t="str">
        <f t="shared" si="17"/>
        <v>DAIRY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t="str">
        <f t="shared" si="18"/>
        <v>NotLake</v>
      </c>
      <c r="AA241">
        <v>15</v>
      </c>
      <c r="AB241">
        <v>1662601.4959199999</v>
      </c>
      <c r="AC241">
        <v>1087.272181</v>
      </c>
      <c r="AD241">
        <v>26220.051812999998</v>
      </c>
      <c r="AE241">
        <v>2.622E-2</v>
      </c>
    </row>
    <row r="242" spans="1:31" x14ac:dyDescent="0.25">
      <c r="A242">
        <v>1010139</v>
      </c>
      <c r="B242">
        <v>9961</v>
      </c>
      <c r="C242" t="s">
        <v>33</v>
      </c>
      <c r="D242" t="str">
        <f t="shared" si="17"/>
        <v>WATER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100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25</v>
      </c>
      <c r="Z242" t="str">
        <f t="shared" si="18"/>
        <v>Lake</v>
      </c>
      <c r="AA242">
        <v>15</v>
      </c>
      <c r="AB242">
        <v>1662601.4959199999</v>
      </c>
      <c r="AC242">
        <v>1969.474831</v>
      </c>
      <c r="AD242">
        <v>157577.32956000001</v>
      </c>
      <c r="AE242">
        <v>0.15757699999999999</v>
      </c>
    </row>
    <row r="243" spans="1:31" x14ac:dyDescent="0.25">
      <c r="A243">
        <v>1010219</v>
      </c>
      <c r="B243">
        <v>10417</v>
      </c>
      <c r="C243" t="s">
        <v>33</v>
      </c>
      <c r="D243" t="str">
        <f t="shared" si="17"/>
        <v>DAIRY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tr">
        <f t="shared" si="18"/>
        <v>NotLake</v>
      </c>
      <c r="AA243">
        <v>18</v>
      </c>
      <c r="AB243">
        <v>1828937.2124999999</v>
      </c>
      <c r="AC243">
        <v>2865.51791</v>
      </c>
      <c r="AD243">
        <v>163819.75390700001</v>
      </c>
      <c r="AE243">
        <v>0.16381999999999999</v>
      </c>
    </row>
    <row r="244" spans="1:31" x14ac:dyDescent="0.25">
      <c r="A244">
        <v>1010219</v>
      </c>
      <c r="B244">
        <v>10417</v>
      </c>
      <c r="C244" t="s">
        <v>33</v>
      </c>
      <c r="D244" t="str">
        <f t="shared" si="17"/>
        <v>WATER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100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25</v>
      </c>
      <c r="Z244" t="str">
        <f t="shared" si="18"/>
        <v>Lake</v>
      </c>
      <c r="AA244">
        <v>18</v>
      </c>
      <c r="AB244">
        <v>1828937.2124999999</v>
      </c>
      <c r="AC244">
        <v>2692.3268069999999</v>
      </c>
      <c r="AD244">
        <v>162494.857934</v>
      </c>
      <c r="AE244">
        <v>0.162495</v>
      </c>
    </row>
    <row r="245" spans="1:31" x14ac:dyDescent="0.25">
      <c r="A245">
        <v>1010288</v>
      </c>
      <c r="B245">
        <v>10178</v>
      </c>
      <c r="C245" t="s">
        <v>33</v>
      </c>
      <c r="D245" t="str">
        <f t="shared" si="17"/>
        <v>DAIRY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100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t="str">
        <f t="shared" si="18"/>
        <v>NotLake</v>
      </c>
      <c r="AA245">
        <v>20</v>
      </c>
      <c r="AB245">
        <v>1401826.08345</v>
      </c>
      <c r="AC245">
        <v>2794.0425289999998</v>
      </c>
      <c r="AD245">
        <v>205889.55119299999</v>
      </c>
      <c r="AE245">
        <v>0.20588999999999999</v>
      </c>
    </row>
    <row r="246" spans="1:31" x14ac:dyDescent="0.25">
      <c r="A246">
        <v>1010288</v>
      </c>
      <c r="B246">
        <v>10178</v>
      </c>
      <c r="C246" t="s">
        <v>33</v>
      </c>
      <c r="D246" t="str">
        <f t="shared" si="17"/>
        <v>WATER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100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25</v>
      </c>
      <c r="Z246" t="str">
        <f t="shared" si="18"/>
        <v>Lake</v>
      </c>
      <c r="AA246">
        <v>20</v>
      </c>
      <c r="AB246">
        <v>1401826.08345</v>
      </c>
      <c r="AC246">
        <v>2001.354061</v>
      </c>
      <c r="AD246">
        <v>117072.21301399999</v>
      </c>
      <c r="AE246">
        <v>0.117072</v>
      </c>
    </row>
    <row r="247" spans="1:31" x14ac:dyDescent="0.25">
      <c r="A247">
        <v>1010300</v>
      </c>
      <c r="B247">
        <v>10371</v>
      </c>
      <c r="C247" t="s">
        <v>33</v>
      </c>
      <c r="D247" t="str">
        <f t="shared" si="17"/>
        <v>DAIRY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t="str">
        <f t="shared" si="18"/>
        <v>NotLake</v>
      </c>
      <c r="AA247">
        <v>22</v>
      </c>
      <c r="AB247">
        <v>811054.57942700002</v>
      </c>
      <c r="AC247">
        <v>1200.869432</v>
      </c>
      <c r="AD247">
        <v>46965.213524999999</v>
      </c>
      <c r="AE247">
        <v>4.6965E-2</v>
      </c>
    </row>
    <row r="248" spans="1:31" x14ac:dyDescent="0.25">
      <c r="A248">
        <v>1010300</v>
      </c>
      <c r="B248">
        <v>10371</v>
      </c>
      <c r="C248" t="s">
        <v>33</v>
      </c>
      <c r="D248" t="str">
        <f t="shared" si="17"/>
        <v>WATER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100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25</v>
      </c>
      <c r="Z248" t="str">
        <f t="shared" si="18"/>
        <v>Lake</v>
      </c>
      <c r="AA248">
        <v>22</v>
      </c>
      <c r="AB248">
        <v>811054.57942700002</v>
      </c>
      <c r="AC248">
        <v>356.431828</v>
      </c>
      <c r="AD248">
        <v>2050.8594589999998</v>
      </c>
      <c r="AE248">
        <v>2.0509999999999999E-3</v>
      </c>
    </row>
    <row r="249" spans="1:31" x14ac:dyDescent="0.25">
      <c r="A249">
        <v>1010301</v>
      </c>
      <c r="B249">
        <v>10173</v>
      </c>
      <c r="C249" t="s">
        <v>33</v>
      </c>
      <c r="D249" t="str">
        <f t="shared" si="17"/>
        <v>DAIRY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100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t="str">
        <f t="shared" si="18"/>
        <v>NotLake</v>
      </c>
      <c r="AA249">
        <v>23</v>
      </c>
      <c r="AB249">
        <v>425314.40753199998</v>
      </c>
      <c r="AC249">
        <v>2816.2347669999999</v>
      </c>
      <c r="AD249">
        <v>116562.378752</v>
      </c>
      <c r="AE249">
        <v>0.116562</v>
      </c>
    </row>
    <row r="250" spans="1:31" x14ac:dyDescent="0.25">
      <c r="A250">
        <v>1010301</v>
      </c>
      <c r="B250">
        <v>10173</v>
      </c>
      <c r="C250" t="s">
        <v>33</v>
      </c>
      <c r="D250" t="str">
        <f t="shared" si="17"/>
        <v>WATER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100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25</v>
      </c>
      <c r="Z250" t="str">
        <f t="shared" si="18"/>
        <v>Lake</v>
      </c>
      <c r="AA250">
        <v>23</v>
      </c>
      <c r="AB250">
        <v>425314.40753199998</v>
      </c>
      <c r="AC250">
        <v>2903.9133550000001</v>
      </c>
      <c r="AD250">
        <v>169567.37530000001</v>
      </c>
      <c r="AE250">
        <v>0.169567</v>
      </c>
    </row>
    <row r="251" spans="1:31" x14ac:dyDescent="0.25">
      <c r="A251">
        <v>1010306</v>
      </c>
      <c r="B251">
        <v>10370</v>
      </c>
      <c r="C251" t="s">
        <v>33</v>
      </c>
      <c r="D251" t="str">
        <f t="shared" si="17"/>
        <v>DAIRY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100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tr">
        <f t="shared" si="18"/>
        <v>NotLake</v>
      </c>
      <c r="AA251">
        <v>24</v>
      </c>
      <c r="AB251">
        <v>133978.16968799999</v>
      </c>
      <c r="AC251">
        <v>1706.724569</v>
      </c>
      <c r="AD251">
        <v>50562.520970999998</v>
      </c>
      <c r="AE251">
        <v>5.0562999999999997E-2</v>
      </c>
    </row>
    <row r="252" spans="1:31" x14ac:dyDescent="0.25">
      <c r="A252">
        <v>1010306</v>
      </c>
      <c r="B252">
        <v>10370</v>
      </c>
      <c r="C252" t="s">
        <v>33</v>
      </c>
      <c r="D252" t="str">
        <f t="shared" si="17"/>
        <v>WATER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25</v>
      </c>
      <c r="Z252" t="str">
        <f t="shared" si="18"/>
        <v>Lake</v>
      </c>
      <c r="AA252">
        <v>24</v>
      </c>
      <c r="AB252">
        <v>133978.16968799999</v>
      </c>
      <c r="AC252">
        <v>1633.528137</v>
      </c>
      <c r="AD252">
        <v>64987.787529000001</v>
      </c>
      <c r="AE252">
        <v>6.4988000000000004E-2</v>
      </c>
    </row>
    <row r="253" spans="1:31" x14ac:dyDescent="0.25">
      <c r="A253">
        <v>1010387</v>
      </c>
      <c r="B253">
        <v>10369</v>
      </c>
      <c r="C253" t="s">
        <v>33</v>
      </c>
      <c r="D253" t="str">
        <f t="shared" si="17"/>
        <v>DAIRY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100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t="str">
        <f t="shared" si="18"/>
        <v>NotLake</v>
      </c>
      <c r="AA253">
        <v>33</v>
      </c>
      <c r="AB253">
        <v>284141.21308399999</v>
      </c>
      <c r="AC253">
        <v>1855.236924</v>
      </c>
      <c r="AD253">
        <v>107493.575098</v>
      </c>
      <c r="AE253">
        <v>0.10749400000000001</v>
      </c>
    </row>
    <row r="254" spans="1:31" x14ac:dyDescent="0.25">
      <c r="A254">
        <v>1010387</v>
      </c>
      <c r="B254">
        <v>10369</v>
      </c>
      <c r="C254" t="s">
        <v>33</v>
      </c>
      <c r="D254" t="str">
        <f t="shared" si="17"/>
        <v>WATER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100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25</v>
      </c>
      <c r="Z254" t="str">
        <f t="shared" si="18"/>
        <v>Lake</v>
      </c>
      <c r="AA254">
        <v>33</v>
      </c>
      <c r="AB254">
        <v>284141.21308399999</v>
      </c>
      <c r="AC254">
        <v>452.38806399999999</v>
      </c>
      <c r="AD254">
        <v>5171.0645469999999</v>
      </c>
      <c r="AE254">
        <v>5.1710000000000002E-3</v>
      </c>
    </row>
    <row r="255" spans="1:31" x14ac:dyDescent="0.25">
      <c r="A255">
        <v>1010388</v>
      </c>
      <c r="B255">
        <v>10275</v>
      </c>
      <c r="C255" t="s">
        <v>33</v>
      </c>
      <c r="D255" t="str">
        <f t="shared" si="17"/>
        <v>DAIRY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100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tr">
        <f t="shared" si="18"/>
        <v>NotLake</v>
      </c>
      <c r="AA255">
        <v>34</v>
      </c>
      <c r="AB255">
        <v>445096.22644200001</v>
      </c>
      <c r="AC255">
        <v>2501.2704560000002</v>
      </c>
      <c r="AD255">
        <v>101053.63791400001</v>
      </c>
      <c r="AE255">
        <v>0.101054</v>
      </c>
    </row>
    <row r="256" spans="1:31" x14ac:dyDescent="0.25">
      <c r="A256">
        <v>1010388</v>
      </c>
      <c r="B256">
        <v>10275</v>
      </c>
      <c r="C256" t="s">
        <v>33</v>
      </c>
      <c r="D256" t="str">
        <f t="shared" si="17"/>
        <v>WATER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100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25</v>
      </c>
      <c r="Z256" t="str">
        <f t="shared" si="18"/>
        <v>Lake</v>
      </c>
      <c r="AA256">
        <v>34</v>
      </c>
      <c r="AB256">
        <v>445096.22644200001</v>
      </c>
      <c r="AC256">
        <v>980.37584900000002</v>
      </c>
      <c r="AD256">
        <v>26920.781823000001</v>
      </c>
      <c r="AE256">
        <v>2.6921E-2</v>
      </c>
    </row>
    <row r="257" spans="1:31" x14ac:dyDescent="0.25">
      <c r="A257">
        <v>1010288</v>
      </c>
      <c r="B257">
        <v>10178</v>
      </c>
      <c r="C257" t="s">
        <v>33</v>
      </c>
      <c r="D257" t="str">
        <f t="shared" si="17"/>
        <v>DAIRY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t="str">
        <f t="shared" si="18"/>
        <v>NotLake</v>
      </c>
      <c r="AA257">
        <v>20</v>
      </c>
      <c r="AB257">
        <v>1401826.08345</v>
      </c>
      <c r="AC257">
        <v>2479.0828729999998</v>
      </c>
      <c r="AD257">
        <v>172219.94115</v>
      </c>
      <c r="AE257">
        <v>0.17222000000000001</v>
      </c>
    </row>
    <row r="258" spans="1:31" x14ac:dyDescent="0.25">
      <c r="A258">
        <v>1010301</v>
      </c>
      <c r="B258">
        <v>10173</v>
      </c>
      <c r="C258" t="s">
        <v>33</v>
      </c>
      <c r="D258" t="str">
        <f t="shared" si="17"/>
        <v>DAIRY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tr">
        <f t="shared" si="18"/>
        <v>NotLake</v>
      </c>
      <c r="AA258">
        <v>23</v>
      </c>
      <c r="AB258">
        <v>425314.40753199998</v>
      </c>
      <c r="AC258">
        <v>2986.5037040000002</v>
      </c>
      <c r="AD258">
        <v>80327.074764000005</v>
      </c>
      <c r="AE258">
        <v>8.0326999999999996E-2</v>
      </c>
    </row>
    <row r="259" spans="1:31" x14ac:dyDescent="0.25">
      <c r="A259">
        <v>1010387</v>
      </c>
      <c r="B259">
        <v>10369</v>
      </c>
      <c r="C259" t="s">
        <v>33</v>
      </c>
      <c r="D259" t="str">
        <f t="shared" ref="D259:D322" si="19">IF(Y259=0,C259,"WATER")</f>
        <v>DAIRY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100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tr">
        <f t="shared" ref="Z259:Z322" si="20">IF(Y259=0,"NotLake","Lake")</f>
        <v>NotLake</v>
      </c>
      <c r="AA259">
        <v>33</v>
      </c>
      <c r="AB259">
        <v>284141.21308399999</v>
      </c>
      <c r="AC259">
        <v>555.78825900000004</v>
      </c>
      <c r="AD259">
        <v>11505.473277999999</v>
      </c>
      <c r="AE259">
        <v>1.1505E-2</v>
      </c>
    </row>
    <row r="260" spans="1:31" x14ac:dyDescent="0.25">
      <c r="A260">
        <v>1010388</v>
      </c>
      <c r="B260">
        <v>10275</v>
      </c>
      <c r="C260" t="s">
        <v>33</v>
      </c>
      <c r="D260" t="str">
        <f t="shared" si="19"/>
        <v>DAIRY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100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tr">
        <f t="shared" si="20"/>
        <v>NotLake</v>
      </c>
      <c r="AA260">
        <v>34</v>
      </c>
      <c r="AB260">
        <v>445096.22644200001</v>
      </c>
      <c r="AC260">
        <v>4795.1111179999998</v>
      </c>
      <c r="AD260">
        <v>153981.321559</v>
      </c>
      <c r="AE260">
        <v>0.15398100000000001</v>
      </c>
    </row>
    <row r="261" spans="1:31" x14ac:dyDescent="0.25">
      <c r="A261">
        <v>1010461</v>
      </c>
      <c r="B261">
        <v>10402</v>
      </c>
      <c r="C261" t="s">
        <v>33</v>
      </c>
      <c r="D261" t="str">
        <f t="shared" si="19"/>
        <v>DAIRY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100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t="str">
        <f t="shared" si="20"/>
        <v>NotLake</v>
      </c>
      <c r="AA261">
        <v>40</v>
      </c>
      <c r="AB261">
        <v>938753.97368599998</v>
      </c>
      <c r="AC261">
        <v>317.62875700000001</v>
      </c>
      <c r="AD261">
        <v>3281.4416299999998</v>
      </c>
      <c r="AE261">
        <v>3.2810000000000001E-3</v>
      </c>
    </row>
    <row r="262" spans="1:31" x14ac:dyDescent="0.25">
      <c r="A262">
        <v>1010548</v>
      </c>
      <c r="B262">
        <v>10318</v>
      </c>
      <c r="C262" t="s">
        <v>33</v>
      </c>
      <c r="D262" t="str">
        <f t="shared" si="19"/>
        <v>DAIRY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100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t="str">
        <f t="shared" si="20"/>
        <v>NotLake</v>
      </c>
      <c r="AA262">
        <v>44</v>
      </c>
      <c r="AB262">
        <v>254468.65062599999</v>
      </c>
      <c r="AC262">
        <v>3172.4670379999998</v>
      </c>
      <c r="AD262">
        <v>134149.597523</v>
      </c>
      <c r="AE262">
        <v>0.13414999999999999</v>
      </c>
    </row>
    <row r="263" spans="1:31" x14ac:dyDescent="0.25">
      <c r="A263">
        <v>1010556</v>
      </c>
      <c r="B263">
        <v>10368</v>
      </c>
      <c r="C263" t="s">
        <v>33</v>
      </c>
      <c r="D263" t="str">
        <f t="shared" si="19"/>
        <v>DAIRY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100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str">
        <f t="shared" si="20"/>
        <v>NotLake</v>
      </c>
      <c r="AA263">
        <v>45</v>
      </c>
      <c r="AB263">
        <v>340789.19214499998</v>
      </c>
      <c r="AC263">
        <v>179.00387499999999</v>
      </c>
      <c r="AD263">
        <v>1434.3125809999999</v>
      </c>
      <c r="AE263">
        <v>1.4339999999999999E-3</v>
      </c>
    </row>
    <row r="264" spans="1:31" x14ac:dyDescent="0.25">
      <c r="A264">
        <v>1010139</v>
      </c>
      <c r="B264">
        <v>9961</v>
      </c>
      <c r="C264" t="s">
        <v>49</v>
      </c>
      <c r="D264" t="str">
        <f t="shared" si="19"/>
        <v>OTHER_ANIM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t="str">
        <f t="shared" si="20"/>
        <v>NotLake</v>
      </c>
      <c r="AA264">
        <v>15</v>
      </c>
      <c r="AB264">
        <v>1662601.4959199999</v>
      </c>
      <c r="AC264">
        <v>845.62498300000004</v>
      </c>
      <c r="AD264">
        <v>22592.128938999998</v>
      </c>
      <c r="AE264">
        <v>2.2592000000000001E-2</v>
      </c>
    </row>
    <row r="265" spans="1:31" x14ac:dyDescent="0.25">
      <c r="A265">
        <v>1010140</v>
      </c>
      <c r="B265">
        <v>9960</v>
      </c>
      <c r="C265" t="s">
        <v>49</v>
      </c>
      <c r="D265" t="str">
        <f t="shared" si="19"/>
        <v>OTHER_ANIM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t="str">
        <f t="shared" si="20"/>
        <v>NotLake</v>
      </c>
      <c r="AA265">
        <v>16</v>
      </c>
      <c r="AB265">
        <v>369568.60371699999</v>
      </c>
      <c r="AC265">
        <v>30.110685</v>
      </c>
      <c r="AD265">
        <v>11.385039000000001</v>
      </c>
      <c r="AE265">
        <v>1.1E-5</v>
      </c>
    </row>
    <row r="266" spans="1:31" x14ac:dyDescent="0.25">
      <c r="A266">
        <v>1010219</v>
      </c>
      <c r="B266">
        <v>10417</v>
      </c>
      <c r="C266" t="s">
        <v>49</v>
      </c>
      <c r="D266" t="str">
        <f t="shared" si="19"/>
        <v>OTHER_ANIM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100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t="str">
        <f t="shared" si="20"/>
        <v>NotLake</v>
      </c>
      <c r="AA266">
        <v>18</v>
      </c>
      <c r="AB266">
        <v>1828937.2124999999</v>
      </c>
      <c r="AC266">
        <v>927.22218899999996</v>
      </c>
      <c r="AD266">
        <v>33869.282904</v>
      </c>
      <c r="AE266">
        <v>3.3869000000000003E-2</v>
      </c>
    </row>
    <row r="267" spans="1:31" x14ac:dyDescent="0.25">
      <c r="A267">
        <v>1009710</v>
      </c>
      <c r="B267">
        <v>9610</v>
      </c>
      <c r="C267" t="s">
        <v>33</v>
      </c>
      <c r="D267" t="str">
        <f t="shared" si="19"/>
        <v>DAIRY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100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tr">
        <f t="shared" si="20"/>
        <v>NotLake</v>
      </c>
      <c r="AA267">
        <v>4</v>
      </c>
      <c r="AB267">
        <v>624933.80375199998</v>
      </c>
      <c r="AC267">
        <v>1289.487163</v>
      </c>
      <c r="AD267">
        <v>32243.338210000002</v>
      </c>
      <c r="AE267">
        <v>3.2243000000000001E-2</v>
      </c>
    </row>
    <row r="268" spans="1:31" x14ac:dyDescent="0.25">
      <c r="A268">
        <v>1009665</v>
      </c>
      <c r="B268">
        <v>9527</v>
      </c>
      <c r="C268" t="s">
        <v>33</v>
      </c>
      <c r="D268" t="str">
        <f t="shared" si="19"/>
        <v>DAIRY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100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tr">
        <f t="shared" si="20"/>
        <v>NotLake</v>
      </c>
      <c r="AA268">
        <v>1</v>
      </c>
      <c r="AB268">
        <v>460381.55421099998</v>
      </c>
      <c r="AC268">
        <v>4187.4181230000004</v>
      </c>
      <c r="AD268">
        <v>365725.724689</v>
      </c>
      <c r="AE268">
        <v>0.365726</v>
      </c>
    </row>
    <row r="269" spans="1:31" x14ac:dyDescent="0.25">
      <c r="A269">
        <v>1009665</v>
      </c>
      <c r="B269">
        <v>9527</v>
      </c>
      <c r="C269" t="s">
        <v>33</v>
      </c>
      <c r="D269" t="str">
        <f t="shared" si="19"/>
        <v>WATER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100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25</v>
      </c>
      <c r="Z269" t="str">
        <f t="shared" si="20"/>
        <v>Lake</v>
      </c>
      <c r="AA269">
        <v>1</v>
      </c>
      <c r="AB269">
        <v>460381.55421099998</v>
      </c>
      <c r="AC269">
        <v>828.36504300000001</v>
      </c>
      <c r="AD269">
        <v>8081.9001150000004</v>
      </c>
      <c r="AE269">
        <v>8.0820000000000006E-3</v>
      </c>
    </row>
    <row r="270" spans="1:31" x14ac:dyDescent="0.25">
      <c r="A270">
        <v>1009710</v>
      </c>
      <c r="B270">
        <v>9610</v>
      </c>
      <c r="C270" t="s">
        <v>33</v>
      </c>
      <c r="D270" t="str">
        <f t="shared" si="19"/>
        <v>DAIRY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100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tr">
        <f t="shared" si="20"/>
        <v>NotLake</v>
      </c>
      <c r="AA270">
        <v>4</v>
      </c>
      <c r="AB270">
        <v>624933.80375199998</v>
      </c>
      <c r="AC270">
        <v>3641.76953</v>
      </c>
      <c r="AD270">
        <v>290544.47071899998</v>
      </c>
      <c r="AE270">
        <v>0.29054400000000002</v>
      </c>
    </row>
    <row r="271" spans="1:31" x14ac:dyDescent="0.25">
      <c r="A271">
        <v>1009710</v>
      </c>
      <c r="B271">
        <v>9610</v>
      </c>
      <c r="C271" t="s">
        <v>33</v>
      </c>
      <c r="D271" t="str">
        <f t="shared" si="19"/>
        <v>WATER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100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25</v>
      </c>
      <c r="Z271" t="str">
        <f t="shared" si="20"/>
        <v>Lake</v>
      </c>
      <c r="AA271">
        <v>4</v>
      </c>
      <c r="AB271">
        <v>624933.80375199998</v>
      </c>
      <c r="AC271">
        <v>1093.453759</v>
      </c>
      <c r="AD271">
        <v>7371.7329980000004</v>
      </c>
      <c r="AE271">
        <v>7.3720000000000001E-3</v>
      </c>
    </row>
    <row r="272" spans="1:31" x14ac:dyDescent="0.25">
      <c r="A272">
        <v>1009728</v>
      </c>
      <c r="B272">
        <v>9526</v>
      </c>
      <c r="C272" t="s">
        <v>33</v>
      </c>
      <c r="D272" t="str">
        <f t="shared" si="19"/>
        <v>DAIRY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100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t="str">
        <f t="shared" si="20"/>
        <v>NotLake</v>
      </c>
      <c r="AA272">
        <v>5</v>
      </c>
      <c r="AB272">
        <v>318309.81075300003</v>
      </c>
      <c r="AC272">
        <v>2062.252399</v>
      </c>
      <c r="AD272">
        <v>123878.85945800001</v>
      </c>
      <c r="AE272">
        <v>0.123879</v>
      </c>
    </row>
    <row r="273" spans="1:31" x14ac:dyDescent="0.25">
      <c r="A273">
        <v>1009728</v>
      </c>
      <c r="B273">
        <v>9526</v>
      </c>
      <c r="C273" t="s">
        <v>33</v>
      </c>
      <c r="D273" t="str">
        <f t="shared" si="19"/>
        <v>WATER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100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25</v>
      </c>
      <c r="Z273" t="str">
        <f t="shared" si="20"/>
        <v>Lake</v>
      </c>
      <c r="AA273">
        <v>5</v>
      </c>
      <c r="AB273">
        <v>318309.81075300003</v>
      </c>
      <c r="AC273">
        <v>345.14006499999999</v>
      </c>
      <c r="AD273">
        <v>3085.678617</v>
      </c>
      <c r="AE273">
        <v>3.0860000000000002E-3</v>
      </c>
    </row>
    <row r="274" spans="1:31" x14ac:dyDescent="0.25">
      <c r="A274">
        <v>1009804</v>
      </c>
      <c r="B274">
        <v>9676</v>
      </c>
      <c r="C274" t="s">
        <v>33</v>
      </c>
      <c r="D274" t="str">
        <f t="shared" si="19"/>
        <v>DAIRY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t="str">
        <f t="shared" si="20"/>
        <v>NotLake</v>
      </c>
      <c r="AA274">
        <v>7</v>
      </c>
      <c r="AB274">
        <v>235586.04437799999</v>
      </c>
      <c r="AC274">
        <v>335.22799900000001</v>
      </c>
      <c r="AD274">
        <v>2548.1270399999999</v>
      </c>
      <c r="AE274">
        <v>2.5479999999999999E-3</v>
      </c>
    </row>
    <row r="275" spans="1:31" x14ac:dyDescent="0.25">
      <c r="A275">
        <v>1009804</v>
      </c>
      <c r="B275">
        <v>9676</v>
      </c>
      <c r="C275" t="s">
        <v>33</v>
      </c>
      <c r="D275" t="str">
        <f t="shared" si="19"/>
        <v>WATER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100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25</v>
      </c>
      <c r="Z275" t="str">
        <f t="shared" si="20"/>
        <v>Lake</v>
      </c>
      <c r="AA275">
        <v>7</v>
      </c>
      <c r="AB275">
        <v>235586.04437799999</v>
      </c>
      <c r="AC275">
        <v>107.600675</v>
      </c>
      <c r="AD275">
        <v>214.50954300000001</v>
      </c>
      <c r="AE275">
        <v>2.1499999999999999E-4</v>
      </c>
    </row>
    <row r="276" spans="1:31" x14ac:dyDescent="0.25">
      <c r="A276">
        <v>1009808</v>
      </c>
      <c r="B276">
        <v>9675</v>
      </c>
      <c r="C276" t="s">
        <v>33</v>
      </c>
      <c r="D276" t="str">
        <f t="shared" si="19"/>
        <v>DAIRY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100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 t="str">
        <f t="shared" si="20"/>
        <v>NotLake</v>
      </c>
      <c r="AA276">
        <v>8</v>
      </c>
      <c r="AB276">
        <v>325505.16677000001</v>
      </c>
      <c r="AC276">
        <v>28.108744000000002</v>
      </c>
      <c r="AD276">
        <v>10.954293</v>
      </c>
      <c r="AE276">
        <v>1.1E-5</v>
      </c>
    </row>
    <row r="277" spans="1:31" x14ac:dyDescent="0.25">
      <c r="A277">
        <v>1010461</v>
      </c>
      <c r="B277">
        <v>10402</v>
      </c>
      <c r="C277" t="s">
        <v>33</v>
      </c>
      <c r="D277" t="str">
        <f t="shared" si="19"/>
        <v>DAIRY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100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t="str">
        <f t="shared" si="20"/>
        <v>NotLake</v>
      </c>
      <c r="AA277">
        <v>40</v>
      </c>
      <c r="AB277">
        <v>938753.97368599998</v>
      </c>
      <c r="AC277">
        <v>94.757949999999994</v>
      </c>
      <c r="AD277">
        <v>403.541876</v>
      </c>
      <c r="AE277">
        <v>4.0400000000000001E-4</v>
      </c>
    </row>
    <row r="278" spans="1:31" x14ac:dyDescent="0.25">
      <c r="A278">
        <v>1009840</v>
      </c>
      <c r="B278">
        <v>10134</v>
      </c>
      <c r="C278" t="s">
        <v>33</v>
      </c>
      <c r="D278" t="str">
        <f t="shared" si="19"/>
        <v>DAIRY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100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tr">
        <f t="shared" si="20"/>
        <v>NotLake</v>
      </c>
      <c r="AA278">
        <v>10</v>
      </c>
      <c r="AB278">
        <v>2209249.6887300001</v>
      </c>
      <c r="AC278">
        <v>1841.5653070000001</v>
      </c>
      <c r="AD278">
        <v>101228.70430899999</v>
      </c>
      <c r="AE278">
        <v>0.101229</v>
      </c>
    </row>
    <row r="279" spans="1:31" x14ac:dyDescent="0.25">
      <c r="A279">
        <v>1009840</v>
      </c>
      <c r="B279">
        <v>10134</v>
      </c>
      <c r="C279" t="s">
        <v>33</v>
      </c>
      <c r="D279" t="str">
        <f t="shared" si="19"/>
        <v>DAIRY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100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t="str">
        <f t="shared" si="20"/>
        <v>NotLake</v>
      </c>
      <c r="AA279">
        <v>10</v>
      </c>
      <c r="AB279">
        <v>2209249.6887300001</v>
      </c>
      <c r="AC279">
        <v>834.24054899999999</v>
      </c>
      <c r="AD279">
        <v>14297.376904999999</v>
      </c>
      <c r="AE279">
        <v>1.4297000000000001E-2</v>
      </c>
    </row>
    <row r="280" spans="1:31" x14ac:dyDescent="0.25">
      <c r="A280">
        <v>1009840</v>
      </c>
      <c r="B280">
        <v>10134</v>
      </c>
      <c r="C280" t="s">
        <v>33</v>
      </c>
      <c r="D280" t="str">
        <f t="shared" si="19"/>
        <v>DAIRY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100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tr">
        <f t="shared" si="20"/>
        <v>NotLake</v>
      </c>
      <c r="AA280">
        <v>10</v>
      </c>
      <c r="AB280">
        <v>2209249.6887300001</v>
      </c>
      <c r="AC280">
        <v>1150.1526610000001</v>
      </c>
      <c r="AD280">
        <v>12365.932633</v>
      </c>
      <c r="AE280">
        <v>1.2366E-2</v>
      </c>
    </row>
    <row r="281" spans="1:31" x14ac:dyDescent="0.25">
      <c r="A281">
        <v>1009840</v>
      </c>
      <c r="B281">
        <v>10134</v>
      </c>
      <c r="C281" t="s">
        <v>33</v>
      </c>
      <c r="D281" t="str">
        <f t="shared" si="19"/>
        <v>WATER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100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25</v>
      </c>
      <c r="Z281" t="str">
        <f t="shared" si="20"/>
        <v>Lake</v>
      </c>
      <c r="AA281">
        <v>10</v>
      </c>
      <c r="AB281">
        <v>2209249.6887300001</v>
      </c>
      <c r="AC281">
        <v>984.71785699999998</v>
      </c>
      <c r="AD281">
        <v>14415.452871</v>
      </c>
      <c r="AE281">
        <v>1.4415000000000001E-2</v>
      </c>
    </row>
    <row r="282" spans="1:31" x14ac:dyDescent="0.25">
      <c r="A282">
        <v>1009840</v>
      </c>
      <c r="B282">
        <v>10134</v>
      </c>
      <c r="C282" t="s">
        <v>33</v>
      </c>
      <c r="D282" t="str">
        <f t="shared" si="19"/>
        <v>DAIRY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100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tr">
        <f t="shared" si="20"/>
        <v>NotLake</v>
      </c>
      <c r="AA282">
        <v>10</v>
      </c>
      <c r="AB282">
        <v>2209249.6887300001</v>
      </c>
      <c r="AC282">
        <v>377.31129299999998</v>
      </c>
      <c r="AD282">
        <v>4509.8085300000002</v>
      </c>
      <c r="AE282">
        <v>4.5100000000000001E-3</v>
      </c>
    </row>
    <row r="283" spans="1:31" x14ac:dyDescent="0.25">
      <c r="A283">
        <v>1010461</v>
      </c>
      <c r="B283">
        <v>10402</v>
      </c>
      <c r="C283" t="s">
        <v>33</v>
      </c>
      <c r="D283" t="str">
        <f t="shared" si="19"/>
        <v>DAIRY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100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tr">
        <f t="shared" si="20"/>
        <v>NotLake</v>
      </c>
      <c r="AA283">
        <v>40</v>
      </c>
      <c r="AB283">
        <v>938753.97368599998</v>
      </c>
      <c r="AC283">
        <v>2904.872824</v>
      </c>
      <c r="AD283">
        <v>200054.10553</v>
      </c>
      <c r="AE283">
        <v>0.20005400000000001</v>
      </c>
    </row>
    <row r="284" spans="1:31" x14ac:dyDescent="0.25">
      <c r="A284">
        <v>1010462</v>
      </c>
      <c r="B284">
        <v>10414</v>
      </c>
      <c r="C284" t="s">
        <v>33</v>
      </c>
      <c r="D284" t="str">
        <f t="shared" si="19"/>
        <v>DAIRY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100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 t="str">
        <f t="shared" si="20"/>
        <v>NotLake</v>
      </c>
      <c r="AA284">
        <v>41</v>
      </c>
      <c r="AB284">
        <v>1152767.33971</v>
      </c>
      <c r="AC284">
        <v>5567.7446399999999</v>
      </c>
      <c r="AD284">
        <v>626257.92614899995</v>
      </c>
      <c r="AE284">
        <v>0.62625799999999998</v>
      </c>
    </row>
    <row r="285" spans="1:31" x14ac:dyDescent="0.25">
      <c r="A285">
        <v>1009698</v>
      </c>
      <c r="B285">
        <v>9480</v>
      </c>
      <c r="C285" t="s">
        <v>33</v>
      </c>
      <c r="D285" t="str">
        <f t="shared" si="19"/>
        <v>DAIRY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100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t="str">
        <f t="shared" si="20"/>
        <v>NotLake</v>
      </c>
      <c r="AA285">
        <v>2</v>
      </c>
      <c r="AB285">
        <v>2613890.82766</v>
      </c>
      <c r="AC285">
        <v>3576.0994099999998</v>
      </c>
      <c r="AD285">
        <v>330188.56326800003</v>
      </c>
      <c r="AE285">
        <v>0.33018900000000001</v>
      </c>
    </row>
    <row r="286" spans="1:31" x14ac:dyDescent="0.25">
      <c r="A286">
        <v>1009698</v>
      </c>
      <c r="B286">
        <v>9480</v>
      </c>
      <c r="C286" t="s">
        <v>33</v>
      </c>
      <c r="D286" t="str">
        <f t="shared" si="19"/>
        <v>WATER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100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25</v>
      </c>
      <c r="Z286" t="str">
        <f t="shared" si="20"/>
        <v>Lake</v>
      </c>
      <c r="AA286">
        <v>2</v>
      </c>
      <c r="AB286">
        <v>2613890.82766</v>
      </c>
      <c r="AC286">
        <v>2306.545948</v>
      </c>
      <c r="AD286">
        <v>37427.007138000001</v>
      </c>
      <c r="AE286">
        <v>3.7427000000000002E-2</v>
      </c>
    </row>
    <row r="287" spans="1:31" x14ac:dyDescent="0.25">
      <c r="A287">
        <v>1009840</v>
      </c>
      <c r="B287">
        <v>10134</v>
      </c>
      <c r="C287" t="s">
        <v>33</v>
      </c>
      <c r="D287" t="str">
        <f t="shared" si="19"/>
        <v>DAIRY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100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str">
        <f t="shared" si="20"/>
        <v>NotLake</v>
      </c>
      <c r="AA287">
        <v>10</v>
      </c>
      <c r="AB287">
        <v>2209249.6887300001</v>
      </c>
      <c r="AC287">
        <v>1521.9070360000001</v>
      </c>
      <c r="AD287">
        <v>97524.692433999997</v>
      </c>
      <c r="AE287">
        <v>9.7525000000000001E-2</v>
      </c>
    </row>
    <row r="288" spans="1:31" x14ac:dyDescent="0.25">
      <c r="A288">
        <v>1009698</v>
      </c>
      <c r="B288">
        <v>9480</v>
      </c>
      <c r="C288" t="s">
        <v>33</v>
      </c>
      <c r="D288" t="str">
        <f t="shared" si="19"/>
        <v>DAIRY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100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t="str">
        <f t="shared" si="20"/>
        <v>NotLake</v>
      </c>
      <c r="AA288">
        <v>2</v>
      </c>
      <c r="AB288">
        <v>2613890.82766</v>
      </c>
      <c r="AC288">
        <v>912.36084500000004</v>
      </c>
      <c r="AD288">
        <v>18121.332631000001</v>
      </c>
      <c r="AE288">
        <v>1.8121000000000002E-2</v>
      </c>
    </row>
    <row r="289" spans="1:31" x14ac:dyDescent="0.25">
      <c r="A289">
        <v>1010344</v>
      </c>
      <c r="B289">
        <v>10142</v>
      </c>
      <c r="C289" t="s">
        <v>49</v>
      </c>
      <c r="D289" t="str">
        <f t="shared" si="19"/>
        <v>OTHER_ANIM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t="str">
        <f t="shared" si="20"/>
        <v>NotLake</v>
      </c>
      <c r="AA289">
        <v>26</v>
      </c>
      <c r="AB289">
        <v>583577.16153899999</v>
      </c>
      <c r="AC289">
        <v>837.85867399999995</v>
      </c>
      <c r="AD289">
        <v>16759.646616999999</v>
      </c>
      <c r="AE289">
        <v>1.6760000000000001E-2</v>
      </c>
    </row>
    <row r="290" spans="1:31" x14ac:dyDescent="0.25">
      <c r="A290">
        <v>1010398</v>
      </c>
      <c r="B290">
        <v>10415</v>
      </c>
      <c r="C290" t="s">
        <v>49</v>
      </c>
      <c r="D290" t="str">
        <f t="shared" si="19"/>
        <v>OTHER_ANIM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100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t="str">
        <f t="shared" si="20"/>
        <v>NotLake</v>
      </c>
      <c r="AA290">
        <v>35</v>
      </c>
      <c r="AB290">
        <v>212209.53551300001</v>
      </c>
      <c r="AC290">
        <v>276.32754799999998</v>
      </c>
      <c r="AD290">
        <v>3209.6450970000001</v>
      </c>
      <c r="AE290">
        <v>3.2100000000000002E-3</v>
      </c>
    </row>
    <row r="291" spans="1:31" x14ac:dyDescent="0.25">
      <c r="A291">
        <v>1010462</v>
      </c>
      <c r="B291">
        <v>10414</v>
      </c>
      <c r="C291" t="s">
        <v>49</v>
      </c>
      <c r="D291" t="str">
        <f t="shared" si="19"/>
        <v>OTHER_ANIM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100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tr">
        <f t="shared" si="20"/>
        <v>NotLake</v>
      </c>
      <c r="AA291">
        <v>41</v>
      </c>
      <c r="AB291">
        <v>1152767.33971</v>
      </c>
      <c r="AC291">
        <v>249.12494000000001</v>
      </c>
      <c r="AD291">
        <v>2390.4587649999999</v>
      </c>
      <c r="AE291">
        <v>2.3900000000000002E-3</v>
      </c>
    </row>
    <row r="292" spans="1:31" x14ac:dyDescent="0.25">
      <c r="A292">
        <v>1010461</v>
      </c>
      <c r="B292">
        <v>10402</v>
      </c>
      <c r="C292" t="s">
        <v>49</v>
      </c>
      <c r="D292" t="str">
        <f t="shared" si="19"/>
        <v>OTHER_ANIM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t="str">
        <f t="shared" si="20"/>
        <v>NotLake</v>
      </c>
      <c r="AA292">
        <v>40</v>
      </c>
      <c r="AB292">
        <v>938753.97368599998</v>
      </c>
      <c r="AC292">
        <v>1186.1704669999999</v>
      </c>
      <c r="AD292">
        <v>45334.670093000001</v>
      </c>
      <c r="AE292">
        <v>4.5335E-2</v>
      </c>
    </row>
    <row r="293" spans="1:31" x14ac:dyDescent="0.25">
      <c r="A293">
        <v>1010462</v>
      </c>
      <c r="B293">
        <v>10414</v>
      </c>
      <c r="C293" t="s">
        <v>49</v>
      </c>
      <c r="D293" t="str">
        <f t="shared" si="19"/>
        <v>OTHER_ANIM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100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tr">
        <f t="shared" si="20"/>
        <v>NotLake</v>
      </c>
      <c r="AA293">
        <v>41</v>
      </c>
      <c r="AB293">
        <v>1152767.33971</v>
      </c>
      <c r="AC293">
        <v>2797.4348129999998</v>
      </c>
      <c r="AD293">
        <v>241531.49427200001</v>
      </c>
      <c r="AE293">
        <v>0.241532</v>
      </c>
    </row>
    <row r="294" spans="1:31" x14ac:dyDescent="0.25">
      <c r="A294">
        <v>1010139</v>
      </c>
      <c r="B294">
        <v>9961</v>
      </c>
      <c r="C294" t="s">
        <v>33</v>
      </c>
      <c r="D294" t="str">
        <f t="shared" si="19"/>
        <v>DAIRY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100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tr">
        <f t="shared" si="20"/>
        <v>NotLake</v>
      </c>
      <c r="AA294">
        <v>15</v>
      </c>
      <c r="AB294">
        <v>1662601.4959199999</v>
      </c>
      <c r="AC294">
        <v>3981.2580560000001</v>
      </c>
      <c r="AD294">
        <v>138296.02598999999</v>
      </c>
      <c r="AE294">
        <v>0.138296</v>
      </c>
    </row>
    <row r="295" spans="1:31" x14ac:dyDescent="0.25">
      <c r="A295">
        <v>1010139</v>
      </c>
      <c r="B295">
        <v>9961</v>
      </c>
      <c r="C295" t="s">
        <v>33</v>
      </c>
      <c r="D295" t="str">
        <f t="shared" si="19"/>
        <v>WATER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100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25</v>
      </c>
      <c r="Z295" t="str">
        <f t="shared" si="20"/>
        <v>Lake</v>
      </c>
      <c r="AA295">
        <v>15</v>
      </c>
      <c r="AB295">
        <v>1662601.4959199999</v>
      </c>
      <c r="AC295">
        <v>512.17959399999995</v>
      </c>
      <c r="AD295">
        <v>9279.6119880000006</v>
      </c>
      <c r="AE295">
        <v>9.2800000000000001E-3</v>
      </c>
    </row>
    <row r="296" spans="1:31" x14ac:dyDescent="0.25">
      <c r="A296">
        <v>1010140</v>
      </c>
      <c r="B296">
        <v>9960</v>
      </c>
      <c r="C296" t="s">
        <v>33</v>
      </c>
      <c r="D296" t="str">
        <f t="shared" si="19"/>
        <v>DAIRY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100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t="str">
        <f t="shared" si="20"/>
        <v>NotLake</v>
      </c>
      <c r="AA296">
        <v>16</v>
      </c>
      <c r="AB296">
        <v>369568.60371699999</v>
      </c>
      <c r="AC296">
        <v>3443.50074</v>
      </c>
      <c r="AD296">
        <v>254819.293037</v>
      </c>
      <c r="AE296">
        <v>0.25481900000000002</v>
      </c>
    </row>
    <row r="297" spans="1:31" x14ac:dyDescent="0.25">
      <c r="A297">
        <v>1010219</v>
      </c>
      <c r="B297">
        <v>10417</v>
      </c>
      <c r="C297" t="s">
        <v>33</v>
      </c>
      <c r="D297" t="str">
        <f t="shared" si="19"/>
        <v>DAIRY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100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t="str">
        <f t="shared" si="20"/>
        <v>NotLake</v>
      </c>
      <c r="AA297">
        <v>18</v>
      </c>
      <c r="AB297">
        <v>1828937.2124999999</v>
      </c>
      <c r="AC297">
        <v>459.59302200000002</v>
      </c>
      <c r="AD297">
        <v>3882.252309</v>
      </c>
      <c r="AE297">
        <v>3.882E-3</v>
      </c>
    </row>
    <row r="298" spans="1:31" x14ac:dyDescent="0.25">
      <c r="A298">
        <v>1010344</v>
      </c>
      <c r="B298">
        <v>10142</v>
      </c>
      <c r="C298" t="s">
        <v>33</v>
      </c>
      <c r="D298" t="str">
        <f t="shared" si="19"/>
        <v>DAIRY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100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t="str">
        <f t="shared" si="20"/>
        <v>NotLake</v>
      </c>
      <c r="AA298">
        <v>26</v>
      </c>
      <c r="AB298">
        <v>583577.16153899999</v>
      </c>
      <c r="AC298">
        <v>4332.1269780000002</v>
      </c>
      <c r="AD298">
        <v>296096.29904999997</v>
      </c>
      <c r="AE298">
        <v>0.29609600000000003</v>
      </c>
    </row>
    <row r="299" spans="1:31" x14ac:dyDescent="0.25">
      <c r="A299">
        <v>1010398</v>
      </c>
      <c r="B299">
        <v>10415</v>
      </c>
      <c r="C299" t="s">
        <v>33</v>
      </c>
      <c r="D299" t="str">
        <f t="shared" si="19"/>
        <v>DAIRY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t="str">
        <f t="shared" si="20"/>
        <v>NotLake</v>
      </c>
      <c r="AA299">
        <v>35</v>
      </c>
      <c r="AB299">
        <v>212209.53551300001</v>
      </c>
      <c r="AC299">
        <v>1700.4876139999999</v>
      </c>
      <c r="AD299">
        <v>35079.96516</v>
      </c>
      <c r="AE299">
        <v>3.508E-2</v>
      </c>
    </row>
    <row r="300" spans="1:31" x14ac:dyDescent="0.25">
      <c r="A300">
        <v>1010462</v>
      </c>
      <c r="B300">
        <v>10414</v>
      </c>
      <c r="C300" t="s">
        <v>33</v>
      </c>
      <c r="D300" t="str">
        <f t="shared" si="19"/>
        <v>DAIRY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tr">
        <f t="shared" si="20"/>
        <v>NotLake</v>
      </c>
      <c r="AA300">
        <v>41</v>
      </c>
      <c r="AB300">
        <v>1152767.33971</v>
      </c>
      <c r="AC300">
        <v>339.76685400000002</v>
      </c>
      <c r="AD300">
        <v>4268.8328670000001</v>
      </c>
      <c r="AE300">
        <v>4.2690000000000002E-3</v>
      </c>
    </row>
    <row r="301" spans="1:31" x14ac:dyDescent="0.25">
      <c r="A301">
        <v>1010344</v>
      </c>
      <c r="B301">
        <v>10142</v>
      </c>
      <c r="C301" t="s">
        <v>33</v>
      </c>
      <c r="D301" t="str">
        <f t="shared" si="19"/>
        <v>DAIRY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t="str">
        <f t="shared" si="20"/>
        <v>NotLake</v>
      </c>
      <c r="AA301">
        <v>26</v>
      </c>
      <c r="AB301">
        <v>583577.16153899999</v>
      </c>
      <c r="AC301">
        <v>513.31743600000004</v>
      </c>
      <c r="AD301">
        <v>11037.958280000001</v>
      </c>
      <c r="AE301">
        <v>1.1037999999999999E-2</v>
      </c>
    </row>
    <row r="302" spans="1:31" x14ac:dyDescent="0.25">
      <c r="A302">
        <v>1010219</v>
      </c>
      <c r="B302">
        <v>10417</v>
      </c>
      <c r="C302" t="s">
        <v>33</v>
      </c>
      <c r="D302" t="str">
        <f t="shared" si="19"/>
        <v>DAIRY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100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tr">
        <f t="shared" si="20"/>
        <v>NotLake</v>
      </c>
      <c r="AA302">
        <v>18</v>
      </c>
      <c r="AB302">
        <v>1828937.2124999999</v>
      </c>
      <c r="AC302">
        <v>787.96644300000003</v>
      </c>
      <c r="AD302">
        <v>3802.6905390000002</v>
      </c>
      <c r="AE302">
        <v>3.803E-3</v>
      </c>
    </row>
    <row r="303" spans="1:31" x14ac:dyDescent="0.25">
      <c r="A303">
        <v>1010344</v>
      </c>
      <c r="B303">
        <v>10142</v>
      </c>
      <c r="C303" t="s">
        <v>33</v>
      </c>
      <c r="D303" t="str">
        <f t="shared" si="19"/>
        <v>DAIRY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tr">
        <f t="shared" si="20"/>
        <v>NotLake</v>
      </c>
      <c r="AA303">
        <v>26</v>
      </c>
      <c r="AB303">
        <v>583577.16153899999</v>
      </c>
      <c r="AC303">
        <v>1042.983878</v>
      </c>
      <c r="AD303">
        <v>36671.543593000002</v>
      </c>
      <c r="AE303">
        <v>3.6672000000000003E-2</v>
      </c>
    </row>
    <row r="304" spans="1:31" x14ac:dyDescent="0.25">
      <c r="A304">
        <v>1010462</v>
      </c>
      <c r="B304">
        <v>10414</v>
      </c>
      <c r="C304" t="s">
        <v>33</v>
      </c>
      <c r="D304" t="str">
        <f t="shared" si="19"/>
        <v>DAIRY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100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tr">
        <f t="shared" si="20"/>
        <v>NotLake</v>
      </c>
      <c r="AA304">
        <v>41</v>
      </c>
      <c r="AB304">
        <v>1152767.33971</v>
      </c>
      <c r="AC304">
        <v>1680.344435</v>
      </c>
      <c r="AD304">
        <v>88473.724149999995</v>
      </c>
      <c r="AE304">
        <v>8.8473999999999997E-2</v>
      </c>
    </row>
    <row r="305" spans="1:31" x14ac:dyDescent="0.25">
      <c r="A305">
        <v>1010344</v>
      </c>
      <c r="B305">
        <v>10142</v>
      </c>
      <c r="C305" t="s">
        <v>33</v>
      </c>
      <c r="D305" t="str">
        <f t="shared" si="19"/>
        <v>DAIRY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100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tr">
        <f t="shared" si="20"/>
        <v>NotLake</v>
      </c>
      <c r="AA305">
        <v>26</v>
      </c>
      <c r="AB305">
        <v>583577.16153899999</v>
      </c>
      <c r="AC305">
        <v>169.077879</v>
      </c>
      <c r="AD305">
        <v>1356.4094190000001</v>
      </c>
      <c r="AE305">
        <v>1.356E-3</v>
      </c>
    </row>
    <row r="306" spans="1:31" x14ac:dyDescent="0.25">
      <c r="A306">
        <v>1010398</v>
      </c>
      <c r="B306">
        <v>10415</v>
      </c>
      <c r="C306" t="s">
        <v>33</v>
      </c>
      <c r="D306" t="str">
        <f t="shared" si="19"/>
        <v>DAIRY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100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t="str">
        <f t="shared" si="20"/>
        <v>NotLake</v>
      </c>
      <c r="AA306">
        <v>35</v>
      </c>
      <c r="AB306">
        <v>212209.53551300001</v>
      </c>
      <c r="AC306">
        <v>550.64845500000001</v>
      </c>
      <c r="AD306">
        <v>12207.979889</v>
      </c>
      <c r="AE306">
        <v>1.2208E-2</v>
      </c>
    </row>
    <row r="307" spans="1:31" x14ac:dyDescent="0.25">
      <c r="A307">
        <v>1010398</v>
      </c>
      <c r="B307">
        <v>10415</v>
      </c>
      <c r="C307" t="s">
        <v>33</v>
      </c>
      <c r="D307" t="str">
        <f t="shared" si="19"/>
        <v>DAIRY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100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tr">
        <f t="shared" si="20"/>
        <v>NotLake</v>
      </c>
      <c r="AA307">
        <v>35</v>
      </c>
      <c r="AB307">
        <v>212209.53551300001</v>
      </c>
      <c r="AC307">
        <v>10.914593</v>
      </c>
      <c r="AD307">
        <v>5.3138889999999996</v>
      </c>
      <c r="AE307">
        <v>5.0000000000000004E-6</v>
      </c>
    </row>
    <row r="308" spans="1:31" x14ac:dyDescent="0.25">
      <c r="A308">
        <v>1010398</v>
      </c>
      <c r="B308">
        <v>10415</v>
      </c>
      <c r="C308" t="s">
        <v>33</v>
      </c>
      <c r="D308" t="str">
        <f t="shared" si="19"/>
        <v>DAIRY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100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t="str">
        <f t="shared" si="20"/>
        <v>NotLake</v>
      </c>
      <c r="AA308">
        <v>35</v>
      </c>
      <c r="AB308">
        <v>212209.53551300001</v>
      </c>
      <c r="AC308">
        <v>274.913614</v>
      </c>
      <c r="AD308">
        <v>2216.741689</v>
      </c>
      <c r="AE308">
        <v>2.2169999999999998E-3</v>
      </c>
    </row>
    <row r="309" spans="1:31" x14ac:dyDescent="0.25">
      <c r="A309">
        <v>1010461</v>
      </c>
      <c r="B309">
        <v>10402</v>
      </c>
      <c r="C309" t="s">
        <v>33</v>
      </c>
      <c r="D309" t="str">
        <f t="shared" si="19"/>
        <v>DAIRY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100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tr">
        <f t="shared" si="20"/>
        <v>NotLake</v>
      </c>
      <c r="AA309">
        <v>40</v>
      </c>
      <c r="AB309">
        <v>938753.97368599998</v>
      </c>
      <c r="AC309">
        <v>465.89663999999999</v>
      </c>
      <c r="AD309">
        <v>8259.5134010000002</v>
      </c>
      <c r="AE309">
        <v>8.26E-3</v>
      </c>
    </row>
    <row r="310" spans="1:31" x14ac:dyDescent="0.25">
      <c r="A310">
        <v>1010462</v>
      </c>
      <c r="B310">
        <v>10414</v>
      </c>
      <c r="C310" t="s">
        <v>33</v>
      </c>
      <c r="D310" t="str">
        <f t="shared" si="19"/>
        <v>DAIRY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100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tr">
        <f t="shared" si="20"/>
        <v>NotLake</v>
      </c>
      <c r="AA310">
        <v>41</v>
      </c>
      <c r="AB310">
        <v>1152767.33971</v>
      </c>
      <c r="AC310">
        <v>28.875806999999998</v>
      </c>
      <c r="AD310">
        <v>12.742265</v>
      </c>
      <c r="AE310">
        <v>1.2999999999999999E-5</v>
      </c>
    </row>
    <row r="311" spans="1:31" x14ac:dyDescent="0.25">
      <c r="A311">
        <v>1009665</v>
      </c>
      <c r="B311">
        <v>9527</v>
      </c>
      <c r="C311" t="s">
        <v>50</v>
      </c>
      <c r="D311" t="str">
        <f t="shared" si="19"/>
        <v>WATER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100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25</v>
      </c>
      <c r="Z311" t="str">
        <f t="shared" si="20"/>
        <v>Lake</v>
      </c>
      <c r="AA311">
        <v>1</v>
      </c>
      <c r="AB311">
        <v>460381.55421099998</v>
      </c>
      <c r="AC311">
        <v>318.95555300000001</v>
      </c>
      <c r="AD311">
        <v>2291.4179730000001</v>
      </c>
      <c r="AE311">
        <v>2.2910000000000001E-3</v>
      </c>
    </row>
    <row r="312" spans="1:31" x14ac:dyDescent="0.25">
      <c r="A312">
        <v>1009728</v>
      </c>
      <c r="B312">
        <v>9526</v>
      </c>
      <c r="C312" t="s">
        <v>50</v>
      </c>
      <c r="D312" t="str">
        <f t="shared" si="19"/>
        <v>WATER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100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25</v>
      </c>
      <c r="Z312" t="str">
        <f t="shared" si="20"/>
        <v>Lake</v>
      </c>
      <c r="AA312">
        <v>5</v>
      </c>
      <c r="AB312">
        <v>318309.81075300003</v>
      </c>
      <c r="AC312">
        <v>291.42586999999997</v>
      </c>
      <c r="AD312">
        <v>1510.1488569999999</v>
      </c>
      <c r="AE312">
        <v>1.5100000000000001E-3</v>
      </c>
    </row>
    <row r="313" spans="1:31" x14ac:dyDescent="0.25">
      <c r="A313">
        <v>1010139</v>
      </c>
      <c r="B313">
        <v>9961</v>
      </c>
      <c r="C313" t="s">
        <v>50</v>
      </c>
      <c r="D313" t="str">
        <f t="shared" si="19"/>
        <v>UNGR_PAST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100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 t="str">
        <f t="shared" si="20"/>
        <v>NotLake</v>
      </c>
      <c r="AA313">
        <v>15</v>
      </c>
      <c r="AB313">
        <v>1662601.4959199999</v>
      </c>
      <c r="AC313">
        <v>515.18583699999999</v>
      </c>
      <c r="AD313">
        <v>10443.401388</v>
      </c>
      <c r="AE313">
        <v>1.0442999999999999E-2</v>
      </c>
    </row>
    <row r="314" spans="1:31" x14ac:dyDescent="0.25">
      <c r="A314">
        <v>1010139</v>
      </c>
      <c r="B314">
        <v>9961</v>
      </c>
      <c r="C314" t="s">
        <v>50</v>
      </c>
      <c r="D314" t="str">
        <f t="shared" si="19"/>
        <v>WATER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25</v>
      </c>
      <c r="Z314" t="str">
        <f t="shared" si="20"/>
        <v>Lake</v>
      </c>
      <c r="AA314">
        <v>15</v>
      </c>
      <c r="AB314">
        <v>1662601.4959199999</v>
      </c>
      <c r="AC314">
        <v>3.5888200000000001</v>
      </c>
      <c r="AD314">
        <v>0.28852299999999997</v>
      </c>
      <c r="AE314">
        <v>0</v>
      </c>
    </row>
    <row r="315" spans="1:31" x14ac:dyDescent="0.25">
      <c r="A315">
        <v>1009840</v>
      </c>
      <c r="B315">
        <v>10134</v>
      </c>
      <c r="C315" t="s">
        <v>50</v>
      </c>
      <c r="D315" t="str">
        <f t="shared" si="19"/>
        <v>UNGR_PAST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100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tr">
        <f t="shared" si="20"/>
        <v>NotLake</v>
      </c>
      <c r="AA315">
        <v>10</v>
      </c>
      <c r="AB315">
        <v>2209249.6887300001</v>
      </c>
      <c r="AC315">
        <v>146.57820899999999</v>
      </c>
      <c r="AD315">
        <v>702.55917099999999</v>
      </c>
      <c r="AE315">
        <v>7.0299999999999996E-4</v>
      </c>
    </row>
    <row r="316" spans="1:31" x14ac:dyDescent="0.25">
      <c r="A316">
        <v>1009840</v>
      </c>
      <c r="B316">
        <v>10134</v>
      </c>
      <c r="C316" t="s">
        <v>50</v>
      </c>
      <c r="D316" t="str">
        <f t="shared" si="19"/>
        <v>WATER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25</v>
      </c>
      <c r="Z316" t="str">
        <f t="shared" si="20"/>
        <v>Lake</v>
      </c>
      <c r="AA316">
        <v>10</v>
      </c>
      <c r="AB316">
        <v>2209249.6887300001</v>
      </c>
      <c r="AC316">
        <v>626.32113300000003</v>
      </c>
      <c r="AD316">
        <v>4496.5103300000001</v>
      </c>
      <c r="AE316">
        <v>4.4970000000000001E-3</v>
      </c>
    </row>
    <row r="317" spans="1:31" x14ac:dyDescent="0.25">
      <c r="A317">
        <v>1010139</v>
      </c>
      <c r="B317">
        <v>9961</v>
      </c>
      <c r="C317" t="s">
        <v>49</v>
      </c>
      <c r="D317" t="str">
        <f t="shared" si="19"/>
        <v>OTHER_ANIM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tr">
        <f t="shared" si="20"/>
        <v>NotLake</v>
      </c>
      <c r="AA317">
        <v>15</v>
      </c>
      <c r="AB317">
        <v>1662601.4959199999</v>
      </c>
      <c r="AC317">
        <v>310.46952599999997</v>
      </c>
      <c r="AD317">
        <v>5344.8262050000003</v>
      </c>
      <c r="AE317">
        <v>5.3449999999999999E-3</v>
      </c>
    </row>
    <row r="318" spans="1:31" x14ac:dyDescent="0.25">
      <c r="A318">
        <v>1010219</v>
      </c>
      <c r="B318">
        <v>10417</v>
      </c>
      <c r="C318" t="s">
        <v>49</v>
      </c>
      <c r="D318" t="str">
        <f t="shared" si="19"/>
        <v>OTHER_ANIM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100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tr">
        <f t="shared" si="20"/>
        <v>NotLake</v>
      </c>
      <c r="AA318">
        <v>18</v>
      </c>
      <c r="AB318">
        <v>1828937.2124999999</v>
      </c>
      <c r="AC318">
        <v>451.43324100000001</v>
      </c>
      <c r="AD318">
        <v>6907.7629809999999</v>
      </c>
      <c r="AE318">
        <v>6.9080000000000001E-3</v>
      </c>
    </row>
    <row r="319" spans="1:31" x14ac:dyDescent="0.25">
      <c r="A319">
        <v>1010106</v>
      </c>
      <c r="B319">
        <v>9923</v>
      </c>
      <c r="C319" t="s">
        <v>33</v>
      </c>
      <c r="D319" t="str">
        <f t="shared" si="19"/>
        <v>DAIRY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100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tr">
        <f t="shared" si="20"/>
        <v>NotLake</v>
      </c>
      <c r="AA319">
        <v>12</v>
      </c>
      <c r="AB319">
        <v>337197.66935500002</v>
      </c>
      <c r="AC319">
        <v>2480.8818460000002</v>
      </c>
      <c r="AD319">
        <v>230927.515774</v>
      </c>
      <c r="AE319">
        <v>0.23092799999999999</v>
      </c>
    </row>
    <row r="320" spans="1:31" x14ac:dyDescent="0.25">
      <c r="A320">
        <v>1010139</v>
      </c>
      <c r="B320">
        <v>9961</v>
      </c>
      <c r="C320" t="s">
        <v>33</v>
      </c>
      <c r="D320" t="str">
        <f t="shared" si="19"/>
        <v>DAIRY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100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 t="str">
        <f t="shared" si="20"/>
        <v>NotLake</v>
      </c>
      <c r="AA320">
        <v>15</v>
      </c>
      <c r="AB320">
        <v>1662601.4959199999</v>
      </c>
      <c r="AC320">
        <v>2850.625755</v>
      </c>
      <c r="AD320">
        <v>173352.76377300001</v>
      </c>
      <c r="AE320">
        <v>0.17335300000000001</v>
      </c>
    </row>
    <row r="321" spans="1:31" x14ac:dyDescent="0.25">
      <c r="A321">
        <v>1010140</v>
      </c>
      <c r="B321">
        <v>9960</v>
      </c>
      <c r="C321" t="s">
        <v>33</v>
      </c>
      <c r="D321" t="str">
        <f t="shared" si="19"/>
        <v>DAIRY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100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 t="str">
        <f t="shared" si="20"/>
        <v>NotLake</v>
      </c>
      <c r="AA321">
        <v>16</v>
      </c>
      <c r="AB321">
        <v>369568.60371699999</v>
      </c>
      <c r="AC321">
        <v>321.642382</v>
      </c>
      <c r="AD321">
        <v>2972.1662249999999</v>
      </c>
      <c r="AE321">
        <v>2.9719999999999998E-3</v>
      </c>
    </row>
    <row r="322" spans="1:31" x14ac:dyDescent="0.25">
      <c r="A322">
        <v>1010139</v>
      </c>
      <c r="B322">
        <v>9961</v>
      </c>
      <c r="C322" t="s">
        <v>33</v>
      </c>
      <c r="D322" t="str">
        <f t="shared" si="19"/>
        <v>DAIRY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100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 t="str">
        <f t="shared" si="20"/>
        <v>NotLake</v>
      </c>
      <c r="AA322">
        <v>15</v>
      </c>
      <c r="AB322">
        <v>1662601.4959199999</v>
      </c>
      <c r="AC322">
        <v>1240.085826</v>
      </c>
      <c r="AD322">
        <v>31205.048060000001</v>
      </c>
      <c r="AE322">
        <v>3.1205E-2</v>
      </c>
    </row>
    <row r="323" spans="1:31" x14ac:dyDescent="0.25">
      <c r="A323">
        <v>1010139</v>
      </c>
      <c r="B323">
        <v>9961</v>
      </c>
      <c r="C323" t="s">
        <v>33</v>
      </c>
      <c r="D323" t="str">
        <f t="shared" ref="D323:D386" si="21">IF(Y323=0,C323,"WATER")</f>
        <v>WATER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100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25</v>
      </c>
      <c r="Z323" t="str">
        <f t="shared" ref="Z323:Z386" si="22">IF(Y323=0,"NotLake","Lake")</f>
        <v>Lake</v>
      </c>
      <c r="AA323">
        <v>15</v>
      </c>
      <c r="AB323">
        <v>1662601.4959199999</v>
      </c>
      <c r="AC323">
        <v>1054.733729</v>
      </c>
      <c r="AD323">
        <v>30523.767541000001</v>
      </c>
      <c r="AE323">
        <v>3.0523999999999999E-2</v>
      </c>
    </row>
    <row r="324" spans="1:31" x14ac:dyDescent="0.25">
      <c r="A324">
        <v>1010388</v>
      </c>
      <c r="B324">
        <v>10275</v>
      </c>
      <c r="C324" t="s">
        <v>49</v>
      </c>
      <c r="D324" t="str">
        <f t="shared" si="21"/>
        <v>OTHER_ANIM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100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tr">
        <f t="shared" si="22"/>
        <v>NotLake</v>
      </c>
      <c r="AA324">
        <v>34</v>
      </c>
      <c r="AB324">
        <v>445096.22644200001</v>
      </c>
      <c r="AC324">
        <v>83.690924999999993</v>
      </c>
      <c r="AD324">
        <v>254.19776100000001</v>
      </c>
      <c r="AE324">
        <v>2.5399999999999999E-4</v>
      </c>
    </row>
    <row r="325" spans="1:31" x14ac:dyDescent="0.25">
      <c r="A325">
        <v>1010288</v>
      </c>
      <c r="B325">
        <v>10178</v>
      </c>
      <c r="C325" t="s">
        <v>49</v>
      </c>
      <c r="D325" t="str">
        <f t="shared" si="21"/>
        <v>OTHER_ANIM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100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 t="str">
        <f t="shared" si="22"/>
        <v>NotLake</v>
      </c>
      <c r="AA325">
        <v>20</v>
      </c>
      <c r="AB325">
        <v>1401826.08345</v>
      </c>
      <c r="AC325">
        <v>280.79085500000002</v>
      </c>
      <c r="AD325">
        <v>3454.8193879999999</v>
      </c>
      <c r="AE325">
        <v>3.4550000000000002E-3</v>
      </c>
    </row>
    <row r="326" spans="1:31" x14ac:dyDescent="0.25">
      <c r="A326">
        <v>1010388</v>
      </c>
      <c r="B326">
        <v>10275</v>
      </c>
      <c r="C326" t="s">
        <v>49</v>
      </c>
      <c r="D326" t="str">
        <f t="shared" si="21"/>
        <v>OTHER_ANIM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 t="str">
        <f t="shared" si="22"/>
        <v>NotLake</v>
      </c>
      <c r="AA326">
        <v>34</v>
      </c>
      <c r="AB326">
        <v>445096.22644200001</v>
      </c>
      <c r="AC326">
        <v>791.48099500000001</v>
      </c>
      <c r="AD326">
        <v>10784.305548</v>
      </c>
      <c r="AE326">
        <v>1.0784E-2</v>
      </c>
    </row>
    <row r="327" spans="1:31" x14ac:dyDescent="0.25">
      <c r="A327">
        <v>1010461</v>
      </c>
      <c r="B327">
        <v>10402</v>
      </c>
      <c r="C327" t="s">
        <v>49</v>
      </c>
      <c r="D327" t="str">
        <f t="shared" si="21"/>
        <v>OTHER_ANIM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100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tr">
        <f t="shared" si="22"/>
        <v>NotLake</v>
      </c>
      <c r="AA327">
        <v>40</v>
      </c>
      <c r="AB327">
        <v>938753.97368599998</v>
      </c>
      <c r="AC327">
        <v>931.39681599999994</v>
      </c>
      <c r="AD327">
        <v>31049.129684</v>
      </c>
      <c r="AE327">
        <v>3.1049E-2</v>
      </c>
    </row>
    <row r="328" spans="1:31" x14ac:dyDescent="0.25">
      <c r="A328">
        <v>1010139</v>
      </c>
      <c r="B328">
        <v>9961</v>
      </c>
      <c r="C328" t="s">
        <v>49</v>
      </c>
      <c r="D328" t="str">
        <f t="shared" si="21"/>
        <v>OTHER_ANIM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t="str">
        <f t="shared" si="22"/>
        <v>NotLake</v>
      </c>
      <c r="AA328">
        <v>15</v>
      </c>
      <c r="AB328">
        <v>1662601.4959199999</v>
      </c>
      <c r="AC328">
        <v>56.430529999999997</v>
      </c>
      <c r="AD328">
        <v>50.314687999999997</v>
      </c>
      <c r="AE328">
        <v>5.0000000000000002E-5</v>
      </c>
    </row>
    <row r="329" spans="1:31" x14ac:dyDescent="0.25">
      <c r="A329">
        <v>1010219</v>
      </c>
      <c r="B329">
        <v>10417</v>
      </c>
      <c r="C329" t="s">
        <v>49</v>
      </c>
      <c r="D329" t="str">
        <f t="shared" si="21"/>
        <v>OTHER_ANIM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100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 t="str">
        <f t="shared" si="22"/>
        <v>NotLake</v>
      </c>
      <c r="AA329">
        <v>18</v>
      </c>
      <c r="AB329">
        <v>1828937.2124999999</v>
      </c>
      <c r="AC329">
        <v>733.13361199999997</v>
      </c>
      <c r="AD329">
        <v>13453.548218</v>
      </c>
      <c r="AE329">
        <v>1.3454000000000001E-2</v>
      </c>
    </row>
    <row r="330" spans="1:31" x14ac:dyDescent="0.25">
      <c r="A330">
        <v>1010344</v>
      </c>
      <c r="B330">
        <v>10142</v>
      </c>
      <c r="C330" t="s">
        <v>49</v>
      </c>
      <c r="D330" t="str">
        <f t="shared" si="21"/>
        <v>OTHER_ANIM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 t="str">
        <f t="shared" si="22"/>
        <v>NotLake</v>
      </c>
      <c r="AA330">
        <v>26</v>
      </c>
      <c r="AB330">
        <v>583577.16153899999</v>
      </c>
      <c r="AC330">
        <v>817.51116999999999</v>
      </c>
      <c r="AD330">
        <v>27153.690287000001</v>
      </c>
      <c r="AE330">
        <v>2.7154000000000001E-2</v>
      </c>
    </row>
    <row r="331" spans="1:31" x14ac:dyDescent="0.25">
      <c r="A331">
        <v>1010219</v>
      </c>
      <c r="B331">
        <v>10417</v>
      </c>
      <c r="C331" t="s">
        <v>49</v>
      </c>
      <c r="D331" t="str">
        <f t="shared" si="21"/>
        <v>OTHER_ANIM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100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tr">
        <f t="shared" si="22"/>
        <v>NotLake</v>
      </c>
      <c r="AA331">
        <v>18</v>
      </c>
      <c r="AB331">
        <v>1828937.2124999999</v>
      </c>
      <c r="AC331">
        <v>978.80619999999999</v>
      </c>
      <c r="AD331">
        <v>37850.170668999999</v>
      </c>
      <c r="AE331">
        <v>3.7850000000000002E-2</v>
      </c>
    </row>
    <row r="332" spans="1:31" x14ac:dyDescent="0.25">
      <c r="A332">
        <v>1010140</v>
      </c>
      <c r="B332">
        <v>9960</v>
      </c>
      <c r="C332" t="s">
        <v>49</v>
      </c>
      <c r="D332" t="str">
        <f t="shared" si="21"/>
        <v>OTHER_ANIM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100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t="str">
        <f t="shared" si="22"/>
        <v>NotLake</v>
      </c>
      <c r="AA332">
        <v>16</v>
      </c>
      <c r="AB332">
        <v>369568.60371699999</v>
      </c>
      <c r="AC332">
        <v>844.41571299999998</v>
      </c>
      <c r="AD332">
        <v>17184.159083999999</v>
      </c>
      <c r="AE332">
        <v>1.7184000000000001E-2</v>
      </c>
    </row>
    <row r="333" spans="1:31" x14ac:dyDescent="0.25">
      <c r="A333">
        <v>1009647</v>
      </c>
      <c r="B333">
        <v>9454</v>
      </c>
      <c r="C333" t="s">
        <v>51</v>
      </c>
      <c r="D333" t="str">
        <f t="shared" si="21"/>
        <v>UNKNOWN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100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t="str">
        <f t="shared" si="22"/>
        <v>NotLake</v>
      </c>
      <c r="AA333">
        <v>0</v>
      </c>
      <c r="AB333">
        <v>417217.74838200002</v>
      </c>
      <c r="AC333">
        <v>1324.086908</v>
      </c>
      <c r="AD333">
        <v>70555.094880000004</v>
      </c>
      <c r="AE333">
        <v>7.0555000000000007E-2</v>
      </c>
    </row>
    <row r="334" spans="1:31" x14ac:dyDescent="0.25">
      <c r="A334">
        <v>1009698</v>
      </c>
      <c r="B334">
        <v>9480</v>
      </c>
      <c r="C334" t="s">
        <v>51</v>
      </c>
      <c r="D334" t="str">
        <f t="shared" si="21"/>
        <v>UNKNOWN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100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t="str">
        <f t="shared" si="22"/>
        <v>NotLake</v>
      </c>
      <c r="AA334">
        <v>2</v>
      </c>
      <c r="AB334">
        <v>2613890.82766</v>
      </c>
      <c r="AC334">
        <v>1560.6978200000001</v>
      </c>
      <c r="AD334">
        <v>86407.303801999995</v>
      </c>
      <c r="AE334">
        <v>8.6406999999999998E-2</v>
      </c>
    </row>
    <row r="335" spans="1:31" x14ac:dyDescent="0.25">
      <c r="A335">
        <v>1009698</v>
      </c>
      <c r="B335">
        <v>9480</v>
      </c>
      <c r="C335" t="s">
        <v>51</v>
      </c>
      <c r="D335" t="str">
        <f t="shared" si="21"/>
        <v>WATER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100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25</v>
      </c>
      <c r="Z335" t="str">
        <f t="shared" si="22"/>
        <v>Lake</v>
      </c>
      <c r="AA335">
        <v>2</v>
      </c>
      <c r="AB335">
        <v>2613890.82766</v>
      </c>
      <c r="AC335">
        <v>446.989577</v>
      </c>
      <c r="AD335">
        <v>1719.3927060000001</v>
      </c>
      <c r="AE335">
        <v>1.719E-3</v>
      </c>
    </row>
    <row r="336" spans="1:31" x14ac:dyDescent="0.25">
      <c r="A336">
        <v>1009647</v>
      </c>
      <c r="B336">
        <v>9454</v>
      </c>
      <c r="C336" t="s">
        <v>51</v>
      </c>
      <c r="D336" t="str">
        <f t="shared" si="21"/>
        <v>UNKNOWN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100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t="str">
        <f t="shared" si="22"/>
        <v>NotLake</v>
      </c>
      <c r="AA336">
        <v>0</v>
      </c>
      <c r="AB336">
        <v>417217.74838200002</v>
      </c>
      <c r="AC336">
        <v>365.35020400000002</v>
      </c>
      <c r="AD336">
        <v>1108.1710889999999</v>
      </c>
      <c r="AE336">
        <v>1.108E-3</v>
      </c>
    </row>
    <row r="337" spans="1:31" x14ac:dyDescent="0.25">
      <c r="A337">
        <v>1009698</v>
      </c>
      <c r="B337">
        <v>9480</v>
      </c>
      <c r="C337" t="s">
        <v>51</v>
      </c>
      <c r="D337" t="str">
        <f t="shared" si="21"/>
        <v>UNKNOWN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100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t="str">
        <f t="shared" si="22"/>
        <v>NotLake</v>
      </c>
      <c r="AA337">
        <v>2</v>
      </c>
      <c r="AB337">
        <v>2613890.82766</v>
      </c>
      <c r="AC337">
        <v>1409.126399</v>
      </c>
      <c r="AD337">
        <v>59845.820444999998</v>
      </c>
      <c r="AE337">
        <v>5.9846000000000003E-2</v>
      </c>
    </row>
    <row r="338" spans="1:31" x14ac:dyDescent="0.25">
      <c r="A338">
        <v>1009698</v>
      </c>
      <c r="B338">
        <v>9480</v>
      </c>
      <c r="C338" t="s">
        <v>51</v>
      </c>
      <c r="D338" t="str">
        <f t="shared" si="21"/>
        <v>WATER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100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25</v>
      </c>
      <c r="Z338" t="str">
        <f t="shared" si="22"/>
        <v>Lake</v>
      </c>
      <c r="AA338">
        <v>2</v>
      </c>
      <c r="AB338">
        <v>2613890.82766</v>
      </c>
      <c r="AC338">
        <v>19.677326000000001</v>
      </c>
      <c r="AD338">
        <v>5.0352990000000002</v>
      </c>
      <c r="AE338">
        <v>5.0000000000000004E-6</v>
      </c>
    </row>
    <row r="339" spans="1:31" x14ac:dyDescent="0.25">
      <c r="A339">
        <v>1009699</v>
      </c>
      <c r="B339">
        <v>9479</v>
      </c>
      <c r="C339" t="s">
        <v>51</v>
      </c>
      <c r="D339" t="str">
        <f t="shared" si="21"/>
        <v>UNKNOWN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100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tr">
        <f t="shared" si="22"/>
        <v>NotLake</v>
      </c>
      <c r="AA339">
        <v>3</v>
      </c>
      <c r="AB339">
        <v>254467.18734500001</v>
      </c>
      <c r="AC339">
        <v>966.40682200000003</v>
      </c>
      <c r="AD339">
        <v>29920.668527000002</v>
      </c>
      <c r="AE339">
        <v>2.9921E-2</v>
      </c>
    </row>
    <row r="340" spans="1:31" x14ac:dyDescent="0.25">
      <c r="A340">
        <v>1009832</v>
      </c>
      <c r="B340">
        <v>9677</v>
      </c>
      <c r="C340" t="s">
        <v>51</v>
      </c>
      <c r="D340" t="str">
        <f t="shared" si="21"/>
        <v>UNKNOWN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100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tr">
        <f t="shared" si="22"/>
        <v>NotLake</v>
      </c>
      <c r="AA340">
        <v>9</v>
      </c>
      <c r="AB340">
        <v>2223666.1798299998</v>
      </c>
      <c r="AC340">
        <v>387.50086499999998</v>
      </c>
      <c r="AD340">
        <v>7122.5594789999996</v>
      </c>
      <c r="AE340">
        <v>7.123E-3</v>
      </c>
    </row>
    <row r="341" spans="1:31" x14ac:dyDescent="0.25">
      <c r="A341">
        <v>1010366</v>
      </c>
      <c r="B341">
        <v>10263</v>
      </c>
      <c r="C341" t="s">
        <v>35</v>
      </c>
      <c r="D341" t="str">
        <f t="shared" si="21"/>
        <v>SBHILL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100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t="str">
        <f t="shared" si="22"/>
        <v>NotLake</v>
      </c>
      <c r="AA341">
        <v>30</v>
      </c>
      <c r="AB341">
        <v>1623010.61307</v>
      </c>
      <c r="AC341">
        <v>244.286044</v>
      </c>
      <c r="AD341">
        <v>2335.5661089999999</v>
      </c>
      <c r="AE341">
        <v>2.336E-3</v>
      </c>
    </row>
    <row r="342" spans="1:31" x14ac:dyDescent="0.25">
      <c r="A342">
        <v>1010474</v>
      </c>
      <c r="B342">
        <v>10429</v>
      </c>
      <c r="C342" t="s">
        <v>35</v>
      </c>
      <c r="D342" t="str">
        <f t="shared" si="21"/>
        <v>SBHILL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100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t="str">
        <f t="shared" si="22"/>
        <v>NotLake</v>
      </c>
      <c r="AA342">
        <v>42</v>
      </c>
      <c r="AB342">
        <v>1544781.51786</v>
      </c>
      <c r="AC342">
        <v>602.41994099999999</v>
      </c>
      <c r="AD342">
        <v>4992.5112429999999</v>
      </c>
      <c r="AE342">
        <v>4.993E-3</v>
      </c>
    </row>
    <row r="343" spans="1:31" x14ac:dyDescent="0.25">
      <c r="A343">
        <v>1010462</v>
      </c>
      <c r="B343">
        <v>10414</v>
      </c>
      <c r="C343" t="s">
        <v>35</v>
      </c>
      <c r="D343" t="str">
        <f t="shared" si="21"/>
        <v>SBHILL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100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t="str">
        <f t="shared" si="22"/>
        <v>NotLake</v>
      </c>
      <c r="AA343">
        <v>41</v>
      </c>
      <c r="AB343">
        <v>1152767.33971</v>
      </c>
      <c r="AC343">
        <v>818.94990399999995</v>
      </c>
      <c r="AD343">
        <v>18262.246369</v>
      </c>
      <c r="AE343">
        <v>1.8262E-2</v>
      </c>
    </row>
    <row r="344" spans="1:31" x14ac:dyDescent="0.25">
      <c r="A344">
        <v>1010366</v>
      </c>
      <c r="B344">
        <v>10263</v>
      </c>
      <c r="C344" t="s">
        <v>35</v>
      </c>
      <c r="D344" t="str">
        <f t="shared" si="21"/>
        <v>SBHILL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100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t="str">
        <f t="shared" si="22"/>
        <v>NotLake</v>
      </c>
      <c r="AA344">
        <v>30</v>
      </c>
      <c r="AB344">
        <v>1623010.61307</v>
      </c>
      <c r="AC344">
        <v>843.273189</v>
      </c>
      <c r="AD344">
        <v>6870.6461079999999</v>
      </c>
      <c r="AE344">
        <v>6.8710000000000004E-3</v>
      </c>
    </row>
    <row r="345" spans="1:31" x14ac:dyDescent="0.25">
      <c r="A345">
        <v>1010387</v>
      </c>
      <c r="B345">
        <v>10369</v>
      </c>
      <c r="C345" t="s">
        <v>35</v>
      </c>
      <c r="D345" t="str">
        <f t="shared" si="21"/>
        <v>SBHILL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100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tr">
        <f t="shared" si="22"/>
        <v>NotLake</v>
      </c>
      <c r="AA345">
        <v>33</v>
      </c>
      <c r="AB345">
        <v>284141.21308399999</v>
      </c>
      <c r="AC345">
        <v>335.94804900000003</v>
      </c>
      <c r="AD345">
        <v>3938.7089649999998</v>
      </c>
      <c r="AE345">
        <v>3.9389999999999998E-3</v>
      </c>
    </row>
    <row r="346" spans="1:31" x14ac:dyDescent="0.25">
      <c r="A346">
        <v>1010366</v>
      </c>
      <c r="B346">
        <v>10263</v>
      </c>
      <c r="C346" t="s">
        <v>35</v>
      </c>
      <c r="D346" t="str">
        <f t="shared" si="21"/>
        <v>SBHILL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100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 t="str">
        <f t="shared" si="22"/>
        <v>NotLake</v>
      </c>
      <c r="AA346">
        <v>30</v>
      </c>
      <c r="AB346">
        <v>1623010.61307</v>
      </c>
      <c r="AC346">
        <v>173.81643</v>
      </c>
      <c r="AD346">
        <v>1176.794042</v>
      </c>
      <c r="AE346">
        <v>1.1770000000000001E-3</v>
      </c>
    </row>
    <row r="347" spans="1:31" x14ac:dyDescent="0.25">
      <c r="A347">
        <v>1010461</v>
      </c>
      <c r="B347">
        <v>10402</v>
      </c>
      <c r="C347" t="s">
        <v>35</v>
      </c>
      <c r="D347" t="str">
        <f t="shared" si="21"/>
        <v>SBHILL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100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 t="str">
        <f t="shared" si="22"/>
        <v>NotLake</v>
      </c>
      <c r="AA347">
        <v>40</v>
      </c>
      <c r="AB347">
        <v>938753.97368599998</v>
      </c>
      <c r="AC347">
        <v>7.9742139999999999</v>
      </c>
      <c r="AD347">
        <v>3.1654529999999999</v>
      </c>
      <c r="AE347">
        <v>3.0000000000000001E-6</v>
      </c>
    </row>
    <row r="348" spans="1:31" x14ac:dyDescent="0.25">
      <c r="A348">
        <v>1010139</v>
      </c>
      <c r="B348">
        <v>9961</v>
      </c>
      <c r="C348" t="s">
        <v>47</v>
      </c>
      <c r="D348" t="str">
        <f t="shared" si="21"/>
        <v>OTHER</v>
      </c>
      <c r="E348">
        <v>0</v>
      </c>
      <c r="F348">
        <v>100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tr">
        <f t="shared" si="22"/>
        <v>NotLake</v>
      </c>
      <c r="AA348">
        <v>15</v>
      </c>
      <c r="AB348">
        <v>1662601.4959199999</v>
      </c>
      <c r="AC348">
        <v>161.60371000000001</v>
      </c>
      <c r="AD348">
        <v>473.22907700000002</v>
      </c>
      <c r="AE348">
        <v>4.73E-4</v>
      </c>
    </row>
    <row r="349" spans="1:31" x14ac:dyDescent="0.25">
      <c r="A349">
        <v>1010139</v>
      </c>
      <c r="B349">
        <v>9961</v>
      </c>
      <c r="C349" t="s">
        <v>47</v>
      </c>
      <c r="D349" t="str">
        <f t="shared" si="21"/>
        <v>WATER</v>
      </c>
      <c r="E349">
        <v>0</v>
      </c>
      <c r="F349">
        <v>100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25</v>
      </c>
      <c r="Z349" t="str">
        <f t="shared" si="22"/>
        <v>Lake</v>
      </c>
      <c r="AA349">
        <v>15</v>
      </c>
      <c r="AB349">
        <v>1662601.4959199999</v>
      </c>
      <c r="AC349">
        <v>119.300915</v>
      </c>
      <c r="AD349">
        <v>306.72732600000001</v>
      </c>
      <c r="AE349">
        <v>3.0699999999999998E-4</v>
      </c>
    </row>
    <row r="350" spans="1:31" x14ac:dyDescent="0.25">
      <c r="A350">
        <v>1010847</v>
      </c>
      <c r="B350">
        <v>10694</v>
      </c>
      <c r="C350" t="s">
        <v>35</v>
      </c>
      <c r="D350" t="str">
        <f t="shared" si="21"/>
        <v>SBHILL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100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t="str">
        <f t="shared" si="22"/>
        <v>NotLake</v>
      </c>
      <c r="AA350">
        <v>48</v>
      </c>
      <c r="AB350">
        <v>499037.49365199998</v>
      </c>
      <c r="AC350">
        <v>180.70770999999999</v>
      </c>
      <c r="AD350">
        <v>972.93134999999995</v>
      </c>
      <c r="AE350">
        <v>9.7300000000000002E-4</v>
      </c>
    </row>
    <row r="351" spans="1:31" x14ac:dyDescent="0.25">
      <c r="A351">
        <v>1009885</v>
      </c>
      <c r="B351">
        <v>9905</v>
      </c>
      <c r="C351" t="s">
        <v>35</v>
      </c>
      <c r="D351" t="str">
        <f t="shared" si="21"/>
        <v>SBHILL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100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t="str">
        <f t="shared" si="22"/>
        <v>NotLake</v>
      </c>
      <c r="AA351">
        <v>11</v>
      </c>
      <c r="AB351">
        <v>303926.051056</v>
      </c>
      <c r="AC351">
        <v>390.54815500000001</v>
      </c>
      <c r="AD351">
        <v>5506.6754460000002</v>
      </c>
      <c r="AE351">
        <v>5.5069999999999997E-3</v>
      </c>
    </row>
    <row r="352" spans="1:31" x14ac:dyDescent="0.25">
      <c r="A352">
        <v>1010461</v>
      </c>
      <c r="B352">
        <v>10402</v>
      </c>
      <c r="C352" t="s">
        <v>35</v>
      </c>
      <c r="D352" t="str">
        <f t="shared" si="21"/>
        <v>SBHILL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100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 t="str">
        <f t="shared" si="22"/>
        <v>NotLake</v>
      </c>
      <c r="AA352">
        <v>40</v>
      </c>
      <c r="AB352">
        <v>938753.97368599998</v>
      </c>
      <c r="AC352">
        <v>1193.2253330000001</v>
      </c>
      <c r="AD352">
        <v>38546.840404000002</v>
      </c>
      <c r="AE352">
        <v>3.8546999999999998E-2</v>
      </c>
    </row>
    <row r="353" spans="1:31" x14ac:dyDescent="0.25">
      <c r="A353">
        <v>1010288</v>
      </c>
      <c r="B353">
        <v>10178</v>
      </c>
      <c r="C353" t="s">
        <v>35</v>
      </c>
      <c r="D353" t="str">
        <f t="shared" si="21"/>
        <v>SBHILL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100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t="str">
        <f t="shared" si="22"/>
        <v>NotLake</v>
      </c>
      <c r="AA353">
        <v>20</v>
      </c>
      <c r="AB353">
        <v>1401826.08345</v>
      </c>
      <c r="AC353">
        <v>2011.050518</v>
      </c>
      <c r="AD353">
        <v>81042.851672999997</v>
      </c>
      <c r="AE353">
        <v>8.1043000000000004E-2</v>
      </c>
    </row>
    <row r="354" spans="1:31" x14ac:dyDescent="0.25">
      <c r="A354">
        <v>1010367</v>
      </c>
      <c r="B354">
        <v>10416</v>
      </c>
      <c r="C354" t="s">
        <v>35</v>
      </c>
      <c r="D354" t="str">
        <f t="shared" si="21"/>
        <v>SBHILL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100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 t="str">
        <f t="shared" si="22"/>
        <v>NotLake</v>
      </c>
      <c r="AA354">
        <v>31</v>
      </c>
      <c r="AB354">
        <v>243680.39809999999</v>
      </c>
      <c r="AC354">
        <v>1435.4549099999999</v>
      </c>
      <c r="AD354">
        <v>49873.051825000002</v>
      </c>
      <c r="AE354">
        <v>4.9873000000000001E-2</v>
      </c>
    </row>
    <row r="355" spans="1:31" x14ac:dyDescent="0.25">
      <c r="A355">
        <v>1010404</v>
      </c>
      <c r="B355">
        <v>10182</v>
      </c>
      <c r="C355" t="s">
        <v>35</v>
      </c>
      <c r="D355" t="str">
        <f t="shared" si="21"/>
        <v>SBHILL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100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t="str">
        <f t="shared" si="22"/>
        <v>NotLake</v>
      </c>
      <c r="AA355">
        <v>36</v>
      </c>
      <c r="AB355">
        <v>222100.20581799999</v>
      </c>
      <c r="AC355">
        <v>244.75304399999999</v>
      </c>
      <c r="AD355">
        <v>830.78147200000001</v>
      </c>
      <c r="AE355">
        <v>8.3100000000000003E-4</v>
      </c>
    </row>
    <row r="356" spans="1:31" x14ac:dyDescent="0.25">
      <c r="A356">
        <v>1010366</v>
      </c>
      <c r="B356">
        <v>10263</v>
      </c>
      <c r="C356" t="s">
        <v>35</v>
      </c>
      <c r="D356" t="str">
        <f t="shared" si="21"/>
        <v>SBHILL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100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tr">
        <f t="shared" si="22"/>
        <v>NotLake</v>
      </c>
      <c r="AA356">
        <v>30</v>
      </c>
      <c r="AB356">
        <v>1623010.61307</v>
      </c>
      <c r="AC356">
        <v>1963.2499560000001</v>
      </c>
      <c r="AD356">
        <v>82595.129262999995</v>
      </c>
      <c r="AE356">
        <v>8.2595000000000002E-2</v>
      </c>
    </row>
    <row r="357" spans="1:31" x14ac:dyDescent="0.25">
      <c r="A357">
        <v>1010387</v>
      </c>
      <c r="B357">
        <v>10369</v>
      </c>
      <c r="C357" t="s">
        <v>35</v>
      </c>
      <c r="D357" t="str">
        <f t="shared" si="21"/>
        <v>SBHILL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100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tr">
        <f t="shared" si="22"/>
        <v>NotLake</v>
      </c>
      <c r="AA357">
        <v>33</v>
      </c>
      <c r="AB357">
        <v>284141.21308399999</v>
      </c>
      <c r="AC357">
        <v>1522.396493</v>
      </c>
      <c r="AD357">
        <v>34866.036132000001</v>
      </c>
      <c r="AE357">
        <v>3.4866000000000001E-2</v>
      </c>
    </row>
    <row r="358" spans="1:31" x14ac:dyDescent="0.25">
      <c r="A358">
        <v>1010548</v>
      </c>
      <c r="B358">
        <v>10318</v>
      </c>
      <c r="C358" t="s">
        <v>35</v>
      </c>
      <c r="D358" t="str">
        <f t="shared" si="21"/>
        <v>SBHILL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100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t="str">
        <f t="shared" si="22"/>
        <v>NotLake</v>
      </c>
      <c r="AA358">
        <v>44</v>
      </c>
      <c r="AB358">
        <v>254468.65062599999</v>
      </c>
      <c r="AC358">
        <v>82.033878000000001</v>
      </c>
      <c r="AD358">
        <v>368.85458999999997</v>
      </c>
      <c r="AE358">
        <v>3.6900000000000002E-4</v>
      </c>
    </row>
    <row r="359" spans="1:31" x14ac:dyDescent="0.25">
      <c r="A359">
        <v>1010556</v>
      </c>
      <c r="B359">
        <v>10368</v>
      </c>
      <c r="C359" t="s">
        <v>35</v>
      </c>
      <c r="D359" t="str">
        <f t="shared" si="21"/>
        <v>SBHILL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100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t="str">
        <f t="shared" si="22"/>
        <v>NotLake</v>
      </c>
      <c r="AA359">
        <v>45</v>
      </c>
      <c r="AB359">
        <v>340789.19214499998</v>
      </c>
      <c r="AC359">
        <v>1435.796556</v>
      </c>
      <c r="AD359">
        <v>42849.283191000002</v>
      </c>
      <c r="AE359">
        <v>4.2848999999999998E-2</v>
      </c>
    </row>
    <row r="360" spans="1:31" x14ac:dyDescent="0.25">
      <c r="A360">
        <v>1010490</v>
      </c>
      <c r="B360">
        <v>10696</v>
      </c>
      <c r="C360" t="s">
        <v>47</v>
      </c>
      <c r="D360" t="str">
        <f t="shared" si="21"/>
        <v>WATER</v>
      </c>
      <c r="E360">
        <v>0</v>
      </c>
      <c r="F360">
        <v>100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25</v>
      </c>
      <c r="Z360" t="str">
        <f t="shared" si="22"/>
        <v>Lake</v>
      </c>
      <c r="AA360">
        <v>43</v>
      </c>
      <c r="AB360">
        <v>1010666.12703</v>
      </c>
      <c r="AC360">
        <v>58.845708999999999</v>
      </c>
      <c r="AD360">
        <v>120.523692</v>
      </c>
      <c r="AE360">
        <v>1.21E-4</v>
      </c>
    </row>
    <row r="361" spans="1:31" x14ac:dyDescent="0.25">
      <c r="A361">
        <v>1010490</v>
      </c>
      <c r="B361">
        <v>10696</v>
      </c>
      <c r="C361" t="s">
        <v>47</v>
      </c>
      <c r="D361" t="str">
        <f t="shared" si="21"/>
        <v>OTHER</v>
      </c>
      <c r="E361">
        <v>0</v>
      </c>
      <c r="F361">
        <v>100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t="str">
        <f t="shared" si="22"/>
        <v>NotLake</v>
      </c>
      <c r="AA361">
        <v>43</v>
      </c>
      <c r="AB361">
        <v>1010666.12703</v>
      </c>
      <c r="AC361">
        <v>51.763500000000001</v>
      </c>
      <c r="AD361">
        <v>22.043752999999999</v>
      </c>
      <c r="AE361">
        <v>2.1999999999999999E-5</v>
      </c>
    </row>
    <row r="362" spans="1:31" x14ac:dyDescent="0.25">
      <c r="A362">
        <v>1010490</v>
      </c>
      <c r="B362">
        <v>10696</v>
      </c>
      <c r="C362" t="s">
        <v>47</v>
      </c>
      <c r="D362" t="str">
        <f t="shared" si="21"/>
        <v>WATER</v>
      </c>
      <c r="E362">
        <v>0</v>
      </c>
      <c r="F362">
        <v>100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25</v>
      </c>
      <c r="Z362" t="str">
        <f t="shared" si="22"/>
        <v>Lake</v>
      </c>
      <c r="AA362">
        <v>43</v>
      </c>
      <c r="AB362">
        <v>1010666.12703</v>
      </c>
      <c r="AC362">
        <v>78.904293999999993</v>
      </c>
      <c r="AD362">
        <v>103.07537499999999</v>
      </c>
      <c r="AE362">
        <v>1.03E-4</v>
      </c>
    </row>
    <row r="363" spans="1:31" x14ac:dyDescent="0.25">
      <c r="A363">
        <v>1010474</v>
      </c>
      <c r="B363">
        <v>10429</v>
      </c>
      <c r="C363" t="s">
        <v>35</v>
      </c>
      <c r="D363" t="str">
        <f t="shared" si="21"/>
        <v>SBHILL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100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tr">
        <f t="shared" si="22"/>
        <v>NotLake</v>
      </c>
      <c r="AA363">
        <v>42</v>
      </c>
      <c r="AB363">
        <v>1544781.51786</v>
      </c>
      <c r="AC363">
        <v>100</v>
      </c>
      <c r="AD363">
        <v>625</v>
      </c>
      <c r="AE363">
        <v>6.2500000000000001E-4</v>
      </c>
    </row>
    <row r="364" spans="1:31" x14ac:dyDescent="0.25">
      <c r="A364">
        <v>1010474</v>
      </c>
      <c r="B364">
        <v>10429</v>
      </c>
      <c r="C364" t="s">
        <v>35</v>
      </c>
      <c r="D364" t="str">
        <f t="shared" si="21"/>
        <v>SBHILL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100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t="str">
        <f t="shared" si="22"/>
        <v>NotLake</v>
      </c>
      <c r="AA364">
        <v>42</v>
      </c>
      <c r="AB364">
        <v>1544781.51786</v>
      </c>
      <c r="AC364">
        <v>158.239912</v>
      </c>
      <c r="AD364">
        <v>1122.3386399999999</v>
      </c>
      <c r="AE364">
        <v>1.122E-3</v>
      </c>
    </row>
    <row r="365" spans="1:31" x14ac:dyDescent="0.25">
      <c r="A365">
        <v>1010366</v>
      </c>
      <c r="B365">
        <v>10263</v>
      </c>
      <c r="C365" t="s">
        <v>35</v>
      </c>
      <c r="D365" t="str">
        <f t="shared" si="21"/>
        <v>SBHILL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100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t="str">
        <f t="shared" si="22"/>
        <v>NotLake</v>
      </c>
      <c r="AA365">
        <v>30</v>
      </c>
      <c r="AB365">
        <v>1623010.61307</v>
      </c>
      <c r="AC365">
        <v>1143.2744600000001</v>
      </c>
      <c r="AD365">
        <v>21310.182406</v>
      </c>
      <c r="AE365">
        <v>2.1309999999999999E-2</v>
      </c>
    </row>
    <row r="366" spans="1:31" x14ac:dyDescent="0.25">
      <c r="A366">
        <v>1010474</v>
      </c>
      <c r="B366">
        <v>10429</v>
      </c>
      <c r="C366" t="s">
        <v>35</v>
      </c>
      <c r="D366" t="str">
        <f t="shared" si="21"/>
        <v>SBHILL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100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tr">
        <f t="shared" si="22"/>
        <v>NotLake</v>
      </c>
      <c r="AA366">
        <v>42</v>
      </c>
      <c r="AB366">
        <v>1544781.51786</v>
      </c>
      <c r="AC366">
        <v>2423.3062</v>
      </c>
      <c r="AD366">
        <v>69047.736611</v>
      </c>
      <c r="AE366">
        <v>6.9047999999999998E-2</v>
      </c>
    </row>
    <row r="367" spans="1:31" x14ac:dyDescent="0.25">
      <c r="A367">
        <v>1010387</v>
      </c>
      <c r="B367">
        <v>10369</v>
      </c>
      <c r="C367" t="s">
        <v>35</v>
      </c>
      <c r="D367" t="str">
        <f t="shared" si="21"/>
        <v>SBHILL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100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tr">
        <f t="shared" si="22"/>
        <v>NotLake</v>
      </c>
      <c r="AA367">
        <v>33</v>
      </c>
      <c r="AB367">
        <v>284141.21308399999</v>
      </c>
      <c r="AC367">
        <v>65.499816999999993</v>
      </c>
      <c r="AD367">
        <v>196.56982400000001</v>
      </c>
      <c r="AE367">
        <v>1.9699999999999999E-4</v>
      </c>
    </row>
    <row r="368" spans="1:31" x14ac:dyDescent="0.25">
      <c r="A368">
        <v>1010548</v>
      </c>
      <c r="B368">
        <v>10318</v>
      </c>
      <c r="C368" t="s">
        <v>35</v>
      </c>
      <c r="D368" t="str">
        <f t="shared" si="21"/>
        <v>SBHILL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100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tr">
        <f t="shared" si="22"/>
        <v>NotLake</v>
      </c>
      <c r="AA368">
        <v>44</v>
      </c>
      <c r="AB368">
        <v>254468.65062599999</v>
      </c>
      <c r="AC368">
        <v>1296.9887659999999</v>
      </c>
      <c r="AD368">
        <v>48106.042862000002</v>
      </c>
      <c r="AE368">
        <v>4.8106000000000003E-2</v>
      </c>
    </row>
    <row r="369" spans="1:31" x14ac:dyDescent="0.25">
      <c r="A369">
        <v>1010556</v>
      </c>
      <c r="B369">
        <v>10368</v>
      </c>
      <c r="C369" t="s">
        <v>35</v>
      </c>
      <c r="D369" t="str">
        <f t="shared" si="21"/>
        <v>SBHILL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100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 t="str">
        <f t="shared" si="22"/>
        <v>NotLake</v>
      </c>
      <c r="AA369">
        <v>45</v>
      </c>
      <c r="AB369">
        <v>340789.19214499998</v>
      </c>
      <c r="AC369">
        <v>784.70736799999997</v>
      </c>
      <c r="AD369">
        <v>13891.705098</v>
      </c>
      <c r="AE369">
        <v>1.3892E-2</v>
      </c>
    </row>
    <row r="370" spans="1:31" x14ac:dyDescent="0.25">
      <c r="A370">
        <v>1010847</v>
      </c>
      <c r="B370">
        <v>10694</v>
      </c>
      <c r="C370" t="s">
        <v>35</v>
      </c>
      <c r="D370" t="str">
        <f t="shared" si="21"/>
        <v>SBHILL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100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t="str">
        <f t="shared" si="22"/>
        <v>NotLake</v>
      </c>
      <c r="AA370">
        <v>48</v>
      </c>
      <c r="AB370">
        <v>499037.49365199998</v>
      </c>
      <c r="AC370">
        <v>174.47759300000001</v>
      </c>
      <c r="AD370">
        <v>751.92279099999996</v>
      </c>
      <c r="AE370">
        <v>7.5199999999999996E-4</v>
      </c>
    </row>
    <row r="371" spans="1:31" x14ac:dyDescent="0.25">
      <c r="A371">
        <v>1010461</v>
      </c>
      <c r="B371">
        <v>10402</v>
      </c>
      <c r="C371" t="s">
        <v>34</v>
      </c>
      <c r="D371" t="str">
        <f t="shared" si="21"/>
        <v>SBINTEN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100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t="str">
        <f t="shared" si="22"/>
        <v>NotLake</v>
      </c>
      <c r="AA371">
        <v>40</v>
      </c>
      <c r="AB371">
        <v>938753.97368599998</v>
      </c>
      <c r="AC371">
        <v>200</v>
      </c>
      <c r="AD371">
        <v>1875</v>
      </c>
      <c r="AE371">
        <v>1.8749999999999999E-3</v>
      </c>
    </row>
    <row r="372" spans="1:31" x14ac:dyDescent="0.25">
      <c r="A372">
        <v>1010288</v>
      </c>
      <c r="B372">
        <v>10178</v>
      </c>
      <c r="C372" t="s">
        <v>35</v>
      </c>
      <c r="D372" t="str">
        <f t="shared" si="21"/>
        <v>SBHILL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100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t="str">
        <f t="shared" si="22"/>
        <v>NotLake</v>
      </c>
      <c r="AA372">
        <v>20</v>
      </c>
      <c r="AB372">
        <v>1401826.08345</v>
      </c>
      <c r="AC372">
        <v>525.81338400000004</v>
      </c>
      <c r="AD372">
        <v>7415.4169279999996</v>
      </c>
      <c r="AE372">
        <v>7.4149999999999997E-3</v>
      </c>
    </row>
    <row r="373" spans="1:31" x14ac:dyDescent="0.25">
      <c r="A373">
        <v>1010398</v>
      </c>
      <c r="B373">
        <v>10415</v>
      </c>
      <c r="C373" t="s">
        <v>35</v>
      </c>
      <c r="D373" t="str">
        <f t="shared" si="21"/>
        <v>SBHILL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100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tr">
        <f t="shared" si="22"/>
        <v>NotLake</v>
      </c>
      <c r="AA373">
        <v>35</v>
      </c>
      <c r="AB373">
        <v>212209.53551300001</v>
      </c>
      <c r="AC373">
        <v>1227.7226989999999</v>
      </c>
      <c r="AD373">
        <v>48102.562053000001</v>
      </c>
      <c r="AE373">
        <v>4.8103E-2</v>
      </c>
    </row>
    <row r="374" spans="1:31" x14ac:dyDescent="0.25">
      <c r="A374">
        <v>1010404</v>
      </c>
      <c r="B374">
        <v>10182</v>
      </c>
      <c r="C374" t="s">
        <v>35</v>
      </c>
      <c r="D374" t="str">
        <f t="shared" si="21"/>
        <v>SBHILL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100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t="str">
        <f t="shared" si="22"/>
        <v>NotLake</v>
      </c>
      <c r="AA374">
        <v>36</v>
      </c>
      <c r="AB374">
        <v>222100.20581799999</v>
      </c>
      <c r="AC374">
        <v>493.26754</v>
      </c>
      <c r="AD374">
        <v>4588.5285370000001</v>
      </c>
      <c r="AE374">
        <v>4.5890000000000002E-3</v>
      </c>
    </row>
    <row r="375" spans="1:31" x14ac:dyDescent="0.25">
      <c r="A375">
        <v>1010461</v>
      </c>
      <c r="B375">
        <v>10402</v>
      </c>
      <c r="C375" t="s">
        <v>35</v>
      </c>
      <c r="D375" t="str">
        <f t="shared" si="21"/>
        <v>SBHILL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100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t="str">
        <f t="shared" si="22"/>
        <v>NotLake</v>
      </c>
      <c r="AA375">
        <v>40</v>
      </c>
      <c r="AB375">
        <v>938753.97368599998</v>
      </c>
      <c r="AC375">
        <v>2077.978118</v>
      </c>
      <c r="AD375">
        <v>87112.902679999999</v>
      </c>
      <c r="AE375">
        <v>8.7112999999999996E-2</v>
      </c>
    </row>
    <row r="376" spans="1:31" x14ac:dyDescent="0.25">
      <c r="A376">
        <v>1010847</v>
      </c>
      <c r="B376">
        <v>10694</v>
      </c>
      <c r="C376" t="s">
        <v>35</v>
      </c>
      <c r="D376" t="str">
        <f t="shared" si="21"/>
        <v>SBHILL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100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tr">
        <f t="shared" si="22"/>
        <v>NotLake</v>
      </c>
      <c r="AA376">
        <v>48</v>
      </c>
      <c r="AB376">
        <v>499037.49365199998</v>
      </c>
      <c r="AC376">
        <v>689.85388499999999</v>
      </c>
      <c r="AD376">
        <v>17851.369148000002</v>
      </c>
      <c r="AE376">
        <v>1.7850999999999999E-2</v>
      </c>
    </row>
    <row r="377" spans="1:31" x14ac:dyDescent="0.25">
      <c r="A377">
        <v>1010344</v>
      </c>
      <c r="B377">
        <v>10142</v>
      </c>
      <c r="C377" t="s">
        <v>35</v>
      </c>
      <c r="D377" t="str">
        <f t="shared" si="21"/>
        <v>SBHILL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100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tr">
        <f t="shared" si="22"/>
        <v>NotLake</v>
      </c>
      <c r="AA377">
        <v>26</v>
      </c>
      <c r="AB377">
        <v>583577.16153899999</v>
      </c>
      <c r="AC377">
        <v>358.59321199999999</v>
      </c>
      <c r="AD377">
        <v>1868.1952739999999</v>
      </c>
      <c r="AE377">
        <v>1.8680000000000001E-3</v>
      </c>
    </row>
    <row r="378" spans="1:31" x14ac:dyDescent="0.25">
      <c r="A378">
        <v>1010462</v>
      </c>
      <c r="B378">
        <v>10414</v>
      </c>
      <c r="C378" t="s">
        <v>35</v>
      </c>
      <c r="D378" t="str">
        <f t="shared" si="21"/>
        <v>SBHILL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100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tr">
        <f t="shared" si="22"/>
        <v>NotLake</v>
      </c>
      <c r="AA378">
        <v>41</v>
      </c>
      <c r="AB378">
        <v>1152767.33971</v>
      </c>
      <c r="AC378">
        <v>1505.5707890000001</v>
      </c>
      <c r="AD378">
        <v>32605.760238999999</v>
      </c>
      <c r="AE378">
        <v>3.2606000000000003E-2</v>
      </c>
    </row>
    <row r="379" spans="1:31" x14ac:dyDescent="0.25">
      <c r="A379">
        <v>1010367</v>
      </c>
      <c r="B379">
        <v>10416</v>
      </c>
      <c r="C379" t="s">
        <v>35</v>
      </c>
      <c r="D379" t="str">
        <f t="shared" si="21"/>
        <v>SBHILL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100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tr">
        <f t="shared" si="22"/>
        <v>NotLake</v>
      </c>
      <c r="AA379">
        <v>31</v>
      </c>
      <c r="AB379">
        <v>243680.39809999999</v>
      </c>
      <c r="AC379">
        <v>674.60882000000004</v>
      </c>
      <c r="AD379">
        <v>18706.712342999999</v>
      </c>
      <c r="AE379">
        <v>1.8707000000000001E-2</v>
      </c>
    </row>
    <row r="380" spans="1:31" x14ac:dyDescent="0.25">
      <c r="A380">
        <v>1010398</v>
      </c>
      <c r="B380">
        <v>10415</v>
      </c>
      <c r="C380" t="s">
        <v>35</v>
      </c>
      <c r="D380" t="str">
        <f t="shared" si="21"/>
        <v>SBHILL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100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tr">
        <f t="shared" si="22"/>
        <v>NotLake</v>
      </c>
      <c r="AA380">
        <v>35</v>
      </c>
      <c r="AB380">
        <v>212209.53551300001</v>
      </c>
      <c r="AC380">
        <v>559.19352900000001</v>
      </c>
      <c r="AD380">
        <v>10235.153729</v>
      </c>
      <c r="AE380">
        <v>1.0234999999999999E-2</v>
      </c>
    </row>
    <row r="381" spans="1:31" x14ac:dyDescent="0.25">
      <c r="A381">
        <v>1010404</v>
      </c>
      <c r="B381">
        <v>10182</v>
      </c>
      <c r="C381" t="s">
        <v>35</v>
      </c>
      <c r="D381" t="str">
        <f t="shared" si="21"/>
        <v>SBHILL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100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tr">
        <f t="shared" si="22"/>
        <v>NotLake</v>
      </c>
      <c r="AA381">
        <v>36</v>
      </c>
      <c r="AB381">
        <v>222100.20581799999</v>
      </c>
      <c r="AC381">
        <v>2709.9268269999998</v>
      </c>
      <c r="AD381">
        <v>142732.75562899999</v>
      </c>
      <c r="AE381">
        <v>0.142733</v>
      </c>
    </row>
    <row r="382" spans="1:31" x14ac:dyDescent="0.25">
      <c r="A382">
        <v>1010461</v>
      </c>
      <c r="B382">
        <v>10402</v>
      </c>
      <c r="C382" t="s">
        <v>35</v>
      </c>
      <c r="D382" t="str">
        <f t="shared" si="21"/>
        <v>SBHILL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100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tr">
        <f t="shared" si="22"/>
        <v>NotLake</v>
      </c>
      <c r="AA382">
        <v>40</v>
      </c>
      <c r="AB382">
        <v>938753.97368599998</v>
      </c>
      <c r="AC382">
        <v>1656.246355</v>
      </c>
      <c r="AD382">
        <v>74758.503098999994</v>
      </c>
      <c r="AE382">
        <v>7.4759000000000006E-2</v>
      </c>
    </row>
    <row r="383" spans="1:31" x14ac:dyDescent="0.25">
      <c r="A383">
        <v>1010367</v>
      </c>
      <c r="B383">
        <v>10416</v>
      </c>
      <c r="C383" t="s">
        <v>35</v>
      </c>
      <c r="D383" t="str">
        <f t="shared" si="21"/>
        <v>SBHILL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100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tr">
        <f t="shared" si="22"/>
        <v>NotLake</v>
      </c>
      <c r="AA383">
        <v>31</v>
      </c>
      <c r="AB383">
        <v>243680.39809999999</v>
      </c>
      <c r="AC383">
        <v>282.85482999999999</v>
      </c>
      <c r="AD383">
        <v>4746.5149629999996</v>
      </c>
      <c r="AE383">
        <v>4.7470000000000004E-3</v>
      </c>
    </row>
    <row r="384" spans="1:31" x14ac:dyDescent="0.25">
      <c r="A384">
        <v>1010461</v>
      </c>
      <c r="B384">
        <v>10402</v>
      </c>
      <c r="C384" t="s">
        <v>35</v>
      </c>
      <c r="D384" t="str">
        <f t="shared" si="21"/>
        <v>SBHILL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100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t="str">
        <f t="shared" si="22"/>
        <v>NotLake</v>
      </c>
      <c r="AA384">
        <v>40</v>
      </c>
      <c r="AB384">
        <v>938753.97368599998</v>
      </c>
      <c r="AC384">
        <v>380.84858600000001</v>
      </c>
      <c r="AD384">
        <v>2700.7396050000002</v>
      </c>
      <c r="AE384">
        <v>2.7009999999999998E-3</v>
      </c>
    </row>
    <row r="385" spans="1:31" x14ac:dyDescent="0.25">
      <c r="A385">
        <v>1010461</v>
      </c>
      <c r="B385">
        <v>10402</v>
      </c>
      <c r="C385" t="s">
        <v>35</v>
      </c>
      <c r="D385" t="str">
        <f t="shared" si="21"/>
        <v>SBHILL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100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t="str">
        <f t="shared" si="22"/>
        <v>NotLake</v>
      </c>
      <c r="AA385">
        <v>40</v>
      </c>
      <c r="AB385">
        <v>938753.97368599998</v>
      </c>
      <c r="AC385">
        <v>254.27084600000001</v>
      </c>
      <c r="AD385">
        <v>1895.7624679999999</v>
      </c>
      <c r="AE385">
        <v>1.8959999999999999E-3</v>
      </c>
    </row>
    <row r="386" spans="1:31" x14ac:dyDescent="0.25">
      <c r="A386">
        <v>1009840</v>
      </c>
      <c r="B386">
        <v>10134</v>
      </c>
      <c r="C386" t="s">
        <v>47</v>
      </c>
      <c r="D386" t="str">
        <f t="shared" si="21"/>
        <v>WATER</v>
      </c>
      <c r="E386">
        <v>0</v>
      </c>
      <c r="F386">
        <v>100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25</v>
      </c>
      <c r="Z386" t="str">
        <f t="shared" si="22"/>
        <v>Lake</v>
      </c>
      <c r="AA386">
        <v>10</v>
      </c>
      <c r="AB386">
        <v>2209249.6887300001</v>
      </c>
      <c r="AC386">
        <v>35.325975</v>
      </c>
      <c r="AD386">
        <v>74.010447999999997</v>
      </c>
      <c r="AE386">
        <v>7.3999999999999996E-5</v>
      </c>
    </row>
    <row r="387" spans="1:31" x14ac:dyDescent="0.25">
      <c r="A387">
        <v>1009840</v>
      </c>
      <c r="B387">
        <v>10134</v>
      </c>
      <c r="C387" t="s">
        <v>47</v>
      </c>
      <c r="D387" t="str">
        <f t="shared" ref="D387:D450" si="23">IF(Y387=0,C387,"WATER")</f>
        <v>WATER</v>
      </c>
      <c r="E387">
        <v>0</v>
      </c>
      <c r="F387">
        <v>100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25</v>
      </c>
      <c r="Z387" t="str">
        <f t="shared" ref="Z387:Z450" si="24">IF(Y387=0,"NotLake","Lake")</f>
        <v>Lake</v>
      </c>
      <c r="AA387">
        <v>10</v>
      </c>
      <c r="AB387">
        <v>2209249.6887300001</v>
      </c>
      <c r="AC387">
        <v>34.782521000000003</v>
      </c>
      <c r="AD387">
        <v>65.331238999999997</v>
      </c>
      <c r="AE387">
        <v>6.4999999999999994E-5</v>
      </c>
    </row>
    <row r="388" spans="1:31" x14ac:dyDescent="0.25">
      <c r="A388">
        <v>1010461</v>
      </c>
      <c r="B388">
        <v>10402</v>
      </c>
      <c r="C388" t="s">
        <v>35</v>
      </c>
      <c r="D388" t="str">
        <f t="shared" si="23"/>
        <v>SBHILL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100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t="str">
        <f t="shared" si="24"/>
        <v>NotLake</v>
      </c>
      <c r="AA388">
        <v>40</v>
      </c>
      <c r="AB388">
        <v>938753.97368599998</v>
      </c>
      <c r="AC388">
        <v>688.270488</v>
      </c>
      <c r="AD388">
        <v>6486.8686500000003</v>
      </c>
      <c r="AE388">
        <v>6.4869999999999997E-3</v>
      </c>
    </row>
    <row r="389" spans="1:31" x14ac:dyDescent="0.25">
      <c r="A389">
        <v>1010490</v>
      </c>
      <c r="B389">
        <v>10696</v>
      </c>
      <c r="C389" t="s">
        <v>47</v>
      </c>
      <c r="D389" t="str">
        <f t="shared" si="23"/>
        <v>WATER</v>
      </c>
      <c r="E389">
        <v>0</v>
      </c>
      <c r="F389">
        <v>100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25</v>
      </c>
      <c r="Z389" t="str">
        <f t="shared" si="24"/>
        <v>Lake</v>
      </c>
      <c r="AA389">
        <v>43</v>
      </c>
      <c r="AB389">
        <v>1010666.12703</v>
      </c>
      <c r="AC389">
        <v>49.017071999999999</v>
      </c>
      <c r="AD389">
        <v>92.673215999999996</v>
      </c>
      <c r="AE389">
        <v>9.2999999999999997E-5</v>
      </c>
    </row>
    <row r="390" spans="1:31" x14ac:dyDescent="0.25">
      <c r="A390">
        <v>1010423</v>
      </c>
      <c r="B390">
        <v>10241</v>
      </c>
      <c r="C390" t="s">
        <v>47</v>
      </c>
      <c r="D390" t="str">
        <f t="shared" si="23"/>
        <v>WATER</v>
      </c>
      <c r="E390">
        <v>0</v>
      </c>
      <c r="F390">
        <v>100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25</v>
      </c>
      <c r="Z390" t="str">
        <f t="shared" si="24"/>
        <v>Lake</v>
      </c>
      <c r="AA390">
        <v>38</v>
      </c>
      <c r="AB390">
        <v>403724.58460399997</v>
      </c>
      <c r="AC390">
        <v>14.344625000000001</v>
      </c>
      <c r="AD390">
        <v>4.3417539999999999</v>
      </c>
      <c r="AE390">
        <v>3.9999999999999998E-6</v>
      </c>
    </row>
    <row r="391" spans="1:31" x14ac:dyDescent="0.25">
      <c r="A391">
        <v>1010424</v>
      </c>
      <c r="B391">
        <v>10697</v>
      </c>
      <c r="C391" t="s">
        <v>47</v>
      </c>
      <c r="D391" t="str">
        <f t="shared" si="23"/>
        <v>WATER</v>
      </c>
      <c r="E391">
        <v>0</v>
      </c>
      <c r="F391">
        <v>100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25</v>
      </c>
      <c r="Z391" t="str">
        <f t="shared" si="24"/>
        <v>Lake</v>
      </c>
      <c r="AA391">
        <v>39</v>
      </c>
      <c r="AB391">
        <v>191522.43302999999</v>
      </c>
      <c r="AC391">
        <v>13.843394999999999</v>
      </c>
      <c r="AD391">
        <v>12.124456</v>
      </c>
      <c r="AE391">
        <v>1.2E-5</v>
      </c>
    </row>
    <row r="392" spans="1:31" x14ac:dyDescent="0.25">
      <c r="A392">
        <v>1010424</v>
      </c>
      <c r="B392">
        <v>10697</v>
      </c>
      <c r="C392" t="s">
        <v>47</v>
      </c>
      <c r="D392" t="str">
        <f t="shared" si="23"/>
        <v>WATER</v>
      </c>
      <c r="E392">
        <v>0</v>
      </c>
      <c r="F392">
        <v>100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25</v>
      </c>
      <c r="Z392" t="str">
        <f t="shared" si="24"/>
        <v>Lake</v>
      </c>
      <c r="AA392">
        <v>39</v>
      </c>
      <c r="AB392">
        <v>191522.43302999999</v>
      </c>
      <c r="AC392">
        <v>95.451560999999998</v>
      </c>
      <c r="AD392">
        <v>597.11209299999996</v>
      </c>
      <c r="AE392">
        <v>5.9699999999999998E-4</v>
      </c>
    </row>
    <row r="393" spans="1:31" x14ac:dyDescent="0.25">
      <c r="A393">
        <v>1010424</v>
      </c>
      <c r="B393">
        <v>10697</v>
      </c>
      <c r="C393" t="s">
        <v>47</v>
      </c>
      <c r="D393" t="str">
        <f t="shared" si="23"/>
        <v>WATER</v>
      </c>
      <c r="E393">
        <v>0</v>
      </c>
      <c r="F393">
        <v>100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25</v>
      </c>
      <c r="Z393" t="str">
        <f t="shared" si="24"/>
        <v>Lake</v>
      </c>
      <c r="AA393">
        <v>39</v>
      </c>
      <c r="AB393">
        <v>191522.43302999999</v>
      </c>
      <c r="AC393">
        <v>92.022963000000004</v>
      </c>
      <c r="AD393">
        <v>523.39475500000003</v>
      </c>
      <c r="AE393">
        <v>5.2300000000000003E-4</v>
      </c>
    </row>
    <row r="394" spans="1:31" x14ac:dyDescent="0.25">
      <c r="A394">
        <v>1010366</v>
      </c>
      <c r="B394">
        <v>10263</v>
      </c>
      <c r="C394" t="s">
        <v>35</v>
      </c>
      <c r="D394" t="str">
        <f t="shared" si="23"/>
        <v>SBHILL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100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tr">
        <f t="shared" si="24"/>
        <v>NotLake</v>
      </c>
      <c r="AA394">
        <v>30</v>
      </c>
      <c r="AB394">
        <v>1623010.61307</v>
      </c>
      <c r="AC394">
        <v>388.85249199999998</v>
      </c>
      <c r="AD394">
        <v>972.59429499999999</v>
      </c>
      <c r="AE394">
        <v>9.7300000000000002E-4</v>
      </c>
    </row>
    <row r="395" spans="1:31" x14ac:dyDescent="0.25">
      <c r="A395">
        <v>1010387</v>
      </c>
      <c r="B395">
        <v>10369</v>
      </c>
      <c r="C395" t="s">
        <v>35</v>
      </c>
      <c r="D395" t="str">
        <f t="shared" si="23"/>
        <v>SBHILL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100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t="str">
        <f t="shared" si="24"/>
        <v>NotLake</v>
      </c>
      <c r="AA395">
        <v>33</v>
      </c>
      <c r="AB395">
        <v>284141.21308399999</v>
      </c>
      <c r="AC395">
        <v>507.23008199999998</v>
      </c>
      <c r="AD395">
        <v>6155.6603990000003</v>
      </c>
      <c r="AE395">
        <v>6.156E-3</v>
      </c>
    </row>
    <row r="396" spans="1:31" x14ac:dyDescent="0.25">
      <c r="A396">
        <v>1010548</v>
      </c>
      <c r="B396">
        <v>10318</v>
      </c>
      <c r="C396" t="s">
        <v>35</v>
      </c>
      <c r="D396" t="str">
        <f t="shared" si="23"/>
        <v>SBHILL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100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tr">
        <f t="shared" si="24"/>
        <v>NotLake</v>
      </c>
      <c r="AA396">
        <v>44</v>
      </c>
      <c r="AB396">
        <v>254468.65062599999</v>
      </c>
      <c r="AC396">
        <v>428.16482200000002</v>
      </c>
      <c r="AD396">
        <v>2031.8670549999999</v>
      </c>
      <c r="AE396">
        <v>2.032E-3</v>
      </c>
    </row>
    <row r="397" spans="1:31" x14ac:dyDescent="0.25">
      <c r="A397">
        <v>1010556</v>
      </c>
      <c r="B397">
        <v>10368</v>
      </c>
      <c r="C397" t="s">
        <v>35</v>
      </c>
      <c r="D397" t="str">
        <f t="shared" si="23"/>
        <v>SBHILL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100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tr">
        <f t="shared" si="24"/>
        <v>NotLake</v>
      </c>
      <c r="AA397">
        <v>45</v>
      </c>
      <c r="AB397">
        <v>340789.19214499998</v>
      </c>
      <c r="AC397">
        <v>869.79508799999996</v>
      </c>
      <c r="AD397">
        <v>6530.6007600000003</v>
      </c>
      <c r="AE397">
        <v>6.5310000000000003E-3</v>
      </c>
    </row>
    <row r="398" spans="1:31" x14ac:dyDescent="0.25">
      <c r="A398">
        <v>1009840</v>
      </c>
      <c r="B398">
        <v>10134</v>
      </c>
      <c r="C398" t="s">
        <v>47</v>
      </c>
      <c r="D398" t="str">
        <f t="shared" si="23"/>
        <v>WATER</v>
      </c>
      <c r="E398">
        <v>0</v>
      </c>
      <c r="F398">
        <v>100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25</v>
      </c>
      <c r="Z398" t="str">
        <f t="shared" si="24"/>
        <v>Lake</v>
      </c>
      <c r="AA398">
        <v>10</v>
      </c>
      <c r="AB398">
        <v>2209249.6887300001</v>
      </c>
      <c r="AC398">
        <v>17.159877000000002</v>
      </c>
      <c r="AD398">
        <v>9.0072539999999996</v>
      </c>
      <c r="AE398">
        <v>9.0000000000000002E-6</v>
      </c>
    </row>
    <row r="399" spans="1:31" x14ac:dyDescent="0.25">
      <c r="A399">
        <v>1010139</v>
      </c>
      <c r="B399">
        <v>9961</v>
      </c>
      <c r="C399" t="s">
        <v>47</v>
      </c>
      <c r="D399" t="str">
        <f t="shared" si="23"/>
        <v>OTHER</v>
      </c>
      <c r="E399">
        <v>0</v>
      </c>
      <c r="F399">
        <v>100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tr">
        <f t="shared" si="24"/>
        <v>NotLake</v>
      </c>
      <c r="AA399">
        <v>15</v>
      </c>
      <c r="AB399">
        <v>1662601.4959199999</v>
      </c>
      <c r="AC399">
        <v>25.696968999999999</v>
      </c>
      <c r="AD399">
        <v>18.724616999999999</v>
      </c>
      <c r="AE399">
        <v>1.9000000000000001E-5</v>
      </c>
    </row>
    <row r="400" spans="1:31" x14ac:dyDescent="0.25">
      <c r="A400">
        <v>1010139</v>
      </c>
      <c r="B400">
        <v>9961</v>
      </c>
      <c r="C400" t="s">
        <v>47</v>
      </c>
      <c r="D400" t="str">
        <f t="shared" si="23"/>
        <v>WATER</v>
      </c>
      <c r="E400">
        <v>0</v>
      </c>
      <c r="F400">
        <v>100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25</v>
      </c>
      <c r="Z400" t="str">
        <f t="shared" si="24"/>
        <v>Lake</v>
      </c>
      <c r="AA400">
        <v>15</v>
      </c>
      <c r="AB400">
        <v>1662601.4959199999</v>
      </c>
      <c r="AC400">
        <v>97.448847999999998</v>
      </c>
      <c r="AD400">
        <v>177.10072199999999</v>
      </c>
      <c r="AE400">
        <v>1.7699999999999999E-4</v>
      </c>
    </row>
    <row r="401" spans="1:31" x14ac:dyDescent="0.25">
      <c r="A401">
        <v>1010139</v>
      </c>
      <c r="B401">
        <v>9961</v>
      </c>
      <c r="C401" t="s">
        <v>47</v>
      </c>
      <c r="D401" t="str">
        <f t="shared" si="23"/>
        <v>OTHER</v>
      </c>
      <c r="E401">
        <v>0</v>
      </c>
      <c r="F401">
        <v>100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t="str">
        <f t="shared" si="24"/>
        <v>NotLake</v>
      </c>
      <c r="AA401">
        <v>15</v>
      </c>
      <c r="AB401">
        <v>1662601.4959199999</v>
      </c>
      <c r="AC401">
        <v>1.7087049999999999</v>
      </c>
      <c r="AD401">
        <v>0.12311</v>
      </c>
      <c r="AE401">
        <v>0</v>
      </c>
    </row>
    <row r="402" spans="1:31" x14ac:dyDescent="0.25">
      <c r="A402">
        <v>1010139</v>
      </c>
      <c r="B402">
        <v>9961</v>
      </c>
      <c r="C402" t="s">
        <v>47</v>
      </c>
      <c r="D402" t="str">
        <f t="shared" si="23"/>
        <v>OTHER</v>
      </c>
      <c r="E402">
        <v>0</v>
      </c>
      <c r="F402">
        <v>100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t="str">
        <f t="shared" si="24"/>
        <v>NotLake</v>
      </c>
      <c r="AA402">
        <v>15</v>
      </c>
      <c r="AB402">
        <v>1662601.4959199999</v>
      </c>
      <c r="AC402">
        <v>178.5087</v>
      </c>
      <c r="AD402">
        <v>1302.282048</v>
      </c>
      <c r="AE402">
        <v>1.302E-3</v>
      </c>
    </row>
    <row r="403" spans="1:31" x14ac:dyDescent="0.25">
      <c r="A403">
        <v>1010139</v>
      </c>
      <c r="B403">
        <v>9961</v>
      </c>
      <c r="C403" t="s">
        <v>47</v>
      </c>
      <c r="D403" t="str">
        <f t="shared" si="23"/>
        <v>WATER</v>
      </c>
      <c r="E403">
        <v>0</v>
      </c>
      <c r="F403">
        <v>100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25</v>
      </c>
      <c r="Z403" t="str">
        <f t="shared" si="24"/>
        <v>Lake</v>
      </c>
      <c r="AA403">
        <v>15</v>
      </c>
      <c r="AB403">
        <v>1662601.4959199999</v>
      </c>
      <c r="AC403">
        <v>296.78014300000001</v>
      </c>
      <c r="AD403">
        <v>1622.219517</v>
      </c>
      <c r="AE403">
        <v>1.622E-3</v>
      </c>
    </row>
    <row r="404" spans="1:31" x14ac:dyDescent="0.25">
      <c r="A404">
        <v>1010139</v>
      </c>
      <c r="B404">
        <v>9961</v>
      </c>
      <c r="C404" t="s">
        <v>47</v>
      </c>
      <c r="D404" t="str">
        <f t="shared" si="23"/>
        <v>OTHER</v>
      </c>
      <c r="E404">
        <v>0</v>
      </c>
      <c r="F404">
        <v>100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tr">
        <f t="shared" si="24"/>
        <v>NotLake</v>
      </c>
      <c r="AA404">
        <v>15</v>
      </c>
      <c r="AB404">
        <v>1662601.4959199999</v>
      </c>
      <c r="AC404">
        <v>15.474451999999999</v>
      </c>
      <c r="AD404">
        <v>10.265159000000001</v>
      </c>
      <c r="AE404">
        <v>1.0000000000000001E-5</v>
      </c>
    </row>
    <row r="405" spans="1:31" x14ac:dyDescent="0.25">
      <c r="A405">
        <v>1009665</v>
      </c>
      <c r="B405">
        <v>9527</v>
      </c>
      <c r="C405" t="s">
        <v>47</v>
      </c>
      <c r="D405" t="str">
        <f t="shared" si="23"/>
        <v>WATER</v>
      </c>
      <c r="E405">
        <v>0</v>
      </c>
      <c r="F405">
        <v>100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25</v>
      </c>
      <c r="Z405" t="str">
        <f t="shared" si="24"/>
        <v>Lake</v>
      </c>
      <c r="AA405">
        <v>1</v>
      </c>
      <c r="AB405">
        <v>460381.55421099998</v>
      </c>
      <c r="AC405">
        <v>62.310119999999998</v>
      </c>
      <c r="AD405">
        <v>96.128353000000004</v>
      </c>
      <c r="AE405">
        <v>9.6000000000000002E-5</v>
      </c>
    </row>
    <row r="406" spans="1:31" x14ac:dyDescent="0.25">
      <c r="A406">
        <v>1009728</v>
      </c>
      <c r="B406">
        <v>9526</v>
      </c>
      <c r="C406" t="s">
        <v>47</v>
      </c>
      <c r="D406" t="str">
        <f t="shared" si="23"/>
        <v>WATER</v>
      </c>
      <c r="E406">
        <v>0</v>
      </c>
      <c r="F406">
        <v>100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25</v>
      </c>
      <c r="Z406" t="str">
        <f t="shared" si="24"/>
        <v>Lake</v>
      </c>
      <c r="AA406">
        <v>5</v>
      </c>
      <c r="AB406">
        <v>318309.81075300003</v>
      </c>
      <c r="AC406">
        <v>116.30502300000001</v>
      </c>
      <c r="AD406">
        <v>393.34396299999997</v>
      </c>
      <c r="AE406">
        <v>3.9300000000000001E-4</v>
      </c>
    </row>
    <row r="407" spans="1:31" x14ac:dyDescent="0.25">
      <c r="A407">
        <v>1009728</v>
      </c>
      <c r="B407">
        <v>9526</v>
      </c>
      <c r="C407" t="s">
        <v>47</v>
      </c>
      <c r="D407" t="str">
        <f t="shared" si="23"/>
        <v>WATER</v>
      </c>
      <c r="E407">
        <v>0</v>
      </c>
      <c r="F407">
        <v>100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25</v>
      </c>
      <c r="Z407" t="str">
        <f t="shared" si="24"/>
        <v>Lake</v>
      </c>
      <c r="AA407">
        <v>5</v>
      </c>
      <c r="AB407">
        <v>318309.81075300003</v>
      </c>
      <c r="AC407">
        <v>119.846419</v>
      </c>
      <c r="AD407">
        <v>592.70599700000002</v>
      </c>
      <c r="AE407">
        <v>5.9299999999999999E-4</v>
      </c>
    </row>
    <row r="408" spans="1:31" x14ac:dyDescent="0.25">
      <c r="A408">
        <v>1009752</v>
      </c>
      <c r="B408">
        <v>9528</v>
      </c>
      <c r="C408" t="s">
        <v>47</v>
      </c>
      <c r="D408" t="str">
        <f t="shared" si="23"/>
        <v>WATER</v>
      </c>
      <c r="E408">
        <v>0</v>
      </c>
      <c r="F408">
        <v>100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25</v>
      </c>
      <c r="Z408" t="str">
        <f t="shared" si="24"/>
        <v>Lake</v>
      </c>
      <c r="AA408">
        <v>6</v>
      </c>
      <c r="AB408">
        <v>156457.58610099999</v>
      </c>
      <c r="AC408">
        <v>87.462592000000001</v>
      </c>
      <c r="AD408">
        <v>94.978412000000006</v>
      </c>
      <c r="AE408">
        <v>9.5000000000000005E-5</v>
      </c>
    </row>
    <row r="409" spans="1:31" x14ac:dyDescent="0.25">
      <c r="A409">
        <v>1009752</v>
      </c>
      <c r="B409">
        <v>9528</v>
      </c>
      <c r="C409" t="s">
        <v>47</v>
      </c>
      <c r="D409" t="str">
        <f t="shared" si="23"/>
        <v>WATER</v>
      </c>
      <c r="E409">
        <v>0</v>
      </c>
      <c r="F409">
        <v>100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25</v>
      </c>
      <c r="Z409" t="str">
        <f t="shared" si="24"/>
        <v>Lake</v>
      </c>
      <c r="AA409">
        <v>6</v>
      </c>
      <c r="AB409">
        <v>156457.58610099999</v>
      </c>
      <c r="AC409">
        <v>61.768155999999998</v>
      </c>
      <c r="AD409">
        <v>126.801239</v>
      </c>
      <c r="AE409">
        <v>1.27E-4</v>
      </c>
    </row>
    <row r="410" spans="1:31" x14ac:dyDescent="0.25">
      <c r="A410">
        <v>1010474</v>
      </c>
      <c r="B410">
        <v>10429</v>
      </c>
      <c r="C410" t="s">
        <v>34</v>
      </c>
      <c r="D410" t="str">
        <f t="shared" si="23"/>
        <v>SBINTEN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100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t="str">
        <f t="shared" si="24"/>
        <v>NotLake</v>
      </c>
      <c r="AA410">
        <v>42</v>
      </c>
      <c r="AB410">
        <v>1544781.51786</v>
      </c>
      <c r="AC410">
        <v>50.422324000000003</v>
      </c>
      <c r="AD410">
        <v>139.82147800000001</v>
      </c>
      <c r="AE410">
        <v>1.3999999999999999E-4</v>
      </c>
    </row>
    <row r="411" spans="1:31" x14ac:dyDescent="0.25">
      <c r="A411">
        <v>1010660</v>
      </c>
      <c r="B411">
        <v>10449</v>
      </c>
      <c r="C411" t="s">
        <v>34</v>
      </c>
      <c r="D411" t="str">
        <f t="shared" si="23"/>
        <v>SBINTEN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100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tr">
        <f t="shared" si="24"/>
        <v>NotLake</v>
      </c>
      <c r="AA411">
        <v>46</v>
      </c>
      <c r="AB411">
        <v>513427.38872300001</v>
      </c>
      <c r="AC411">
        <v>1539.1477170000001</v>
      </c>
      <c r="AD411">
        <v>32108.805240999998</v>
      </c>
      <c r="AE411">
        <v>3.2108999999999999E-2</v>
      </c>
    </row>
    <row r="412" spans="1:31" x14ac:dyDescent="0.25">
      <c r="A412">
        <v>1010665</v>
      </c>
      <c r="B412">
        <v>10695</v>
      </c>
      <c r="C412" t="s">
        <v>34</v>
      </c>
      <c r="D412" t="str">
        <f t="shared" si="23"/>
        <v>SBINTEN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100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 t="str">
        <f t="shared" si="24"/>
        <v>NotLake</v>
      </c>
      <c r="AA412">
        <v>47</v>
      </c>
      <c r="AB412">
        <v>362365.16101899999</v>
      </c>
      <c r="AC412">
        <v>1626.595595</v>
      </c>
      <c r="AD412">
        <v>29921.701385</v>
      </c>
      <c r="AE412">
        <v>2.9922000000000001E-2</v>
      </c>
    </row>
    <row r="413" spans="1:31" x14ac:dyDescent="0.25">
      <c r="A413">
        <v>1010848</v>
      </c>
      <c r="B413">
        <v>10614</v>
      </c>
      <c r="C413" t="s">
        <v>34</v>
      </c>
      <c r="D413" t="str">
        <f t="shared" si="23"/>
        <v>SBINTEN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100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t="str">
        <f t="shared" si="24"/>
        <v>NotLake</v>
      </c>
      <c r="AA413">
        <v>49</v>
      </c>
      <c r="AB413">
        <v>520619.811216</v>
      </c>
      <c r="AC413">
        <v>485.14512500000001</v>
      </c>
      <c r="AD413">
        <v>9467.2930730000007</v>
      </c>
      <c r="AE413">
        <v>9.4669999999999997E-3</v>
      </c>
    </row>
    <row r="414" spans="1:31" x14ac:dyDescent="0.25">
      <c r="A414">
        <v>1010366</v>
      </c>
      <c r="B414">
        <v>10263</v>
      </c>
      <c r="C414" t="s">
        <v>34</v>
      </c>
      <c r="D414" t="str">
        <f t="shared" si="23"/>
        <v>SBINTEN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100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 t="str">
        <f t="shared" si="24"/>
        <v>NotLake</v>
      </c>
      <c r="AA414">
        <v>30</v>
      </c>
      <c r="AB414">
        <v>1623010.61307</v>
      </c>
      <c r="AC414">
        <v>1277.692607</v>
      </c>
      <c r="AD414">
        <v>13952.466407</v>
      </c>
      <c r="AE414">
        <v>1.3952000000000001E-2</v>
      </c>
    </row>
    <row r="415" spans="1:31" x14ac:dyDescent="0.25">
      <c r="A415">
        <v>1010387</v>
      </c>
      <c r="B415">
        <v>10369</v>
      </c>
      <c r="C415" t="s">
        <v>34</v>
      </c>
      <c r="D415" t="str">
        <f t="shared" si="23"/>
        <v>SBINTEN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100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t="str">
        <f t="shared" si="24"/>
        <v>NotLake</v>
      </c>
      <c r="AA415">
        <v>33</v>
      </c>
      <c r="AB415">
        <v>284141.21308399999</v>
      </c>
      <c r="AC415">
        <v>681.60267699999997</v>
      </c>
      <c r="AD415">
        <v>5462.7250199999999</v>
      </c>
      <c r="AE415">
        <v>5.463E-3</v>
      </c>
    </row>
    <row r="416" spans="1:31" x14ac:dyDescent="0.25">
      <c r="A416">
        <v>1010474</v>
      </c>
      <c r="B416">
        <v>10429</v>
      </c>
      <c r="C416" t="s">
        <v>34</v>
      </c>
      <c r="D416" t="str">
        <f t="shared" si="23"/>
        <v>SBINTEN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t="str">
        <f t="shared" si="24"/>
        <v>NotLake</v>
      </c>
      <c r="AA416">
        <v>42</v>
      </c>
      <c r="AB416">
        <v>1544781.51786</v>
      </c>
      <c r="AC416">
        <v>113.36233</v>
      </c>
      <c r="AD416">
        <v>507.57705900000002</v>
      </c>
      <c r="AE416">
        <v>5.0799999999999999E-4</v>
      </c>
    </row>
    <row r="417" spans="1:31" x14ac:dyDescent="0.25">
      <c r="A417">
        <v>1010556</v>
      </c>
      <c r="B417">
        <v>10368</v>
      </c>
      <c r="C417" t="s">
        <v>34</v>
      </c>
      <c r="D417" t="str">
        <f t="shared" si="23"/>
        <v>SBINTEN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 t="str">
        <f t="shared" si="24"/>
        <v>NotLake</v>
      </c>
      <c r="AA417">
        <v>45</v>
      </c>
      <c r="AB417">
        <v>340789.19214499998</v>
      </c>
      <c r="AC417">
        <v>774.39678600000002</v>
      </c>
      <c r="AD417">
        <v>10037.774735999999</v>
      </c>
      <c r="AE417">
        <v>1.0038E-2</v>
      </c>
    </row>
    <row r="418" spans="1:31" x14ac:dyDescent="0.25">
      <c r="A418">
        <v>1010366</v>
      </c>
      <c r="B418">
        <v>10263</v>
      </c>
      <c r="C418" t="s">
        <v>34</v>
      </c>
      <c r="D418" t="str">
        <f t="shared" si="23"/>
        <v>SBINTEN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100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tr">
        <f t="shared" si="24"/>
        <v>NotLake</v>
      </c>
      <c r="AA418">
        <v>30</v>
      </c>
      <c r="AB418">
        <v>1623010.61307</v>
      </c>
      <c r="AC418">
        <v>278.203664</v>
      </c>
      <c r="AD418">
        <v>1281.5733130000001</v>
      </c>
      <c r="AE418">
        <v>1.2819999999999999E-3</v>
      </c>
    </row>
    <row r="419" spans="1:31" x14ac:dyDescent="0.25">
      <c r="A419">
        <v>1010474</v>
      </c>
      <c r="B419">
        <v>10429</v>
      </c>
      <c r="C419" t="s">
        <v>34</v>
      </c>
      <c r="D419" t="str">
        <f t="shared" si="23"/>
        <v>SBINTEN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100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t="str">
        <f t="shared" si="24"/>
        <v>NotLake</v>
      </c>
      <c r="AA419">
        <v>42</v>
      </c>
      <c r="AB419">
        <v>1544781.51786</v>
      </c>
      <c r="AC419">
        <v>848.89403700000003</v>
      </c>
      <c r="AD419">
        <v>8977.829232</v>
      </c>
      <c r="AE419">
        <v>8.9779999999999999E-3</v>
      </c>
    </row>
    <row r="420" spans="1:31" x14ac:dyDescent="0.25">
      <c r="A420">
        <v>1010665</v>
      </c>
      <c r="B420">
        <v>10695</v>
      </c>
      <c r="C420" t="s">
        <v>34</v>
      </c>
      <c r="D420" t="str">
        <f t="shared" si="23"/>
        <v>SBINTEN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100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 t="str">
        <f t="shared" si="24"/>
        <v>NotLake</v>
      </c>
      <c r="AA420">
        <v>47</v>
      </c>
      <c r="AB420">
        <v>362365.16101899999</v>
      </c>
      <c r="AC420">
        <v>765.81185500000004</v>
      </c>
      <c r="AD420">
        <v>10368.052863999999</v>
      </c>
      <c r="AE420">
        <v>1.0368E-2</v>
      </c>
    </row>
    <row r="421" spans="1:31" x14ac:dyDescent="0.25">
      <c r="A421">
        <v>1009647</v>
      </c>
      <c r="B421">
        <v>9454</v>
      </c>
      <c r="C421" t="s">
        <v>34</v>
      </c>
      <c r="D421" t="str">
        <f t="shared" si="23"/>
        <v>SBINTEN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100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tr">
        <f t="shared" si="24"/>
        <v>NotLake</v>
      </c>
      <c r="AA421">
        <v>0</v>
      </c>
      <c r="AB421">
        <v>417217.74838200002</v>
      </c>
      <c r="AC421">
        <v>2246.1443850000001</v>
      </c>
      <c r="AD421">
        <v>91845.945940999998</v>
      </c>
      <c r="AE421">
        <v>9.1845999999999997E-2</v>
      </c>
    </row>
    <row r="422" spans="1:31" x14ac:dyDescent="0.25">
      <c r="A422">
        <v>1010106</v>
      </c>
      <c r="B422">
        <v>9923</v>
      </c>
      <c r="C422" t="s">
        <v>34</v>
      </c>
      <c r="D422" t="str">
        <f t="shared" si="23"/>
        <v>SBINTEN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100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t="str">
        <f t="shared" si="24"/>
        <v>NotLake</v>
      </c>
      <c r="AA422">
        <v>12</v>
      </c>
      <c r="AB422">
        <v>337197.66935500002</v>
      </c>
      <c r="AC422">
        <v>1299.149611</v>
      </c>
      <c r="AD422">
        <v>76769.197960999998</v>
      </c>
      <c r="AE422">
        <v>7.6769000000000004E-2</v>
      </c>
    </row>
    <row r="423" spans="1:31" x14ac:dyDescent="0.25">
      <c r="A423">
        <v>1010140</v>
      </c>
      <c r="B423">
        <v>9960</v>
      </c>
      <c r="C423" t="s">
        <v>34</v>
      </c>
      <c r="D423" t="str">
        <f t="shared" si="23"/>
        <v>SBINTEN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100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tr">
        <f t="shared" si="24"/>
        <v>NotLake</v>
      </c>
      <c r="AA423">
        <v>16</v>
      </c>
      <c r="AB423">
        <v>369568.60371699999</v>
      </c>
      <c r="AC423">
        <v>972.01155700000004</v>
      </c>
      <c r="AD423">
        <v>30887.505743999998</v>
      </c>
      <c r="AE423">
        <v>3.0887999999999999E-2</v>
      </c>
    </row>
    <row r="424" spans="1:31" x14ac:dyDescent="0.25">
      <c r="A424">
        <v>1009710</v>
      </c>
      <c r="B424">
        <v>9610</v>
      </c>
      <c r="C424" t="s">
        <v>34</v>
      </c>
      <c r="D424" t="str">
        <f t="shared" si="23"/>
        <v>SBINTEN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100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t="str">
        <f t="shared" si="24"/>
        <v>NotLake</v>
      </c>
      <c r="AA424">
        <v>4</v>
      </c>
      <c r="AB424">
        <v>624933.80375199998</v>
      </c>
      <c r="AC424">
        <v>1774.5767209999999</v>
      </c>
      <c r="AD424">
        <v>126156.92972499999</v>
      </c>
      <c r="AE424">
        <v>0.12615699999999999</v>
      </c>
    </row>
    <row r="425" spans="1:31" x14ac:dyDescent="0.25">
      <c r="A425">
        <v>1009804</v>
      </c>
      <c r="B425">
        <v>9676</v>
      </c>
      <c r="C425" t="s">
        <v>34</v>
      </c>
      <c r="D425" t="str">
        <f t="shared" si="23"/>
        <v>SBINTEN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100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t="str">
        <f t="shared" si="24"/>
        <v>NotLake</v>
      </c>
      <c r="AA425">
        <v>7</v>
      </c>
      <c r="AB425">
        <v>235586.04437799999</v>
      </c>
      <c r="AC425">
        <v>776.506531</v>
      </c>
      <c r="AD425">
        <v>24704.843948000002</v>
      </c>
      <c r="AE425">
        <v>2.4705000000000001E-2</v>
      </c>
    </row>
    <row r="426" spans="1:31" x14ac:dyDescent="0.25">
      <c r="A426">
        <v>1009808</v>
      </c>
      <c r="B426">
        <v>9675</v>
      </c>
      <c r="C426" t="s">
        <v>34</v>
      </c>
      <c r="D426" t="str">
        <f t="shared" si="23"/>
        <v>SBINTEN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100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t="str">
        <f t="shared" si="24"/>
        <v>NotLake</v>
      </c>
      <c r="AA426">
        <v>8</v>
      </c>
      <c r="AB426">
        <v>325505.16677000001</v>
      </c>
      <c r="AC426">
        <v>2558.502778</v>
      </c>
      <c r="AD426">
        <v>120821.95677200001</v>
      </c>
      <c r="AE426">
        <v>0.120822</v>
      </c>
    </row>
    <row r="427" spans="1:31" x14ac:dyDescent="0.25">
      <c r="A427">
        <v>1009808</v>
      </c>
      <c r="B427">
        <v>9675</v>
      </c>
      <c r="C427" t="s">
        <v>34</v>
      </c>
      <c r="D427" t="str">
        <f t="shared" si="23"/>
        <v>WATER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100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25</v>
      </c>
      <c r="Z427" t="str">
        <f t="shared" si="24"/>
        <v>Lake</v>
      </c>
      <c r="AA427">
        <v>8</v>
      </c>
      <c r="AB427">
        <v>325505.16677000001</v>
      </c>
      <c r="AC427">
        <v>912.33081800000002</v>
      </c>
      <c r="AD427">
        <v>13169.286174999999</v>
      </c>
      <c r="AE427">
        <v>1.3169E-2</v>
      </c>
    </row>
    <row r="428" spans="1:31" x14ac:dyDescent="0.25">
      <c r="A428">
        <v>1009885</v>
      </c>
      <c r="B428">
        <v>9905</v>
      </c>
      <c r="C428" t="s">
        <v>34</v>
      </c>
      <c r="D428" t="str">
        <f t="shared" si="23"/>
        <v>SBINTEN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100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t="str">
        <f t="shared" si="24"/>
        <v>NotLake</v>
      </c>
      <c r="AA428">
        <v>11</v>
      </c>
      <c r="AB428">
        <v>303926.051056</v>
      </c>
      <c r="AC428">
        <v>429.76166699999999</v>
      </c>
      <c r="AD428">
        <v>5470.5634209999998</v>
      </c>
      <c r="AE428">
        <v>5.4710000000000002E-3</v>
      </c>
    </row>
    <row r="429" spans="1:31" x14ac:dyDescent="0.25">
      <c r="A429">
        <v>1009885</v>
      </c>
      <c r="B429">
        <v>9905</v>
      </c>
      <c r="C429" t="s">
        <v>34</v>
      </c>
      <c r="D429" t="str">
        <f t="shared" si="23"/>
        <v>WATER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100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25</v>
      </c>
      <c r="Z429" t="str">
        <f t="shared" si="24"/>
        <v>Lake</v>
      </c>
      <c r="AA429">
        <v>11</v>
      </c>
      <c r="AB429">
        <v>303926.051056</v>
      </c>
      <c r="AC429">
        <v>73.524592999999996</v>
      </c>
      <c r="AD429">
        <v>221.11884000000001</v>
      </c>
      <c r="AE429">
        <v>2.2100000000000001E-4</v>
      </c>
    </row>
    <row r="430" spans="1:31" x14ac:dyDescent="0.25">
      <c r="A430">
        <v>1010121</v>
      </c>
      <c r="B430">
        <v>9962</v>
      </c>
      <c r="C430" t="s">
        <v>34</v>
      </c>
      <c r="D430" t="str">
        <f t="shared" si="23"/>
        <v>SBINTEN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100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t="str">
        <f t="shared" si="24"/>
        <v>NotLake</v>
      </c>
      <c r="AA430">
        <v>14</v>
      </c>
      <c r="AB430">
        <v>1941333.5943100001</v>
      </c>
      <c r="AC430">
        <v>861.40984700000001</v>
      </c>
      <c r="AD430">
        <v>20935.181509999999</v>
      </c>
      <c r="AE430">
        <v>2.0934999999999999E-2</v>
      </c>
    </row>
    <row r="431" spans="1:31" x14ac:dyDescent="0.25">
      <c r="A431">
        <v>1010121</v>
      </c>
      <c r="B431">
        <v>9962</v>
      </c>
      <c r="C431" t="s">
        <v>34</v>
      </c>
      <c r="D431" t="str">
        <f t="shared" si="23"/>
        <v>WATER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100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25</v>
      </c>
      <c r="Z431" t="str">
        <f t="shared" si="24"/>
        <v>Lake</v>
      </c>
      <c r="AA431">
        <v>14</v>
      </c>
      <c r="AB431">
        <v>1941333.5943100001</v>
      </c>
      <c r="AC431">
        <v>618.01258800000005</v>
      </c>
      <c r="AD431">
        <v>15876.165601999999</v>
      </c>
      <c r="AE431">
        <v>1.5876000000000001E-2</v>
      </c>
    </row>
    <row r="432" spans="1:31" x14ac:dyDescent="0.25">
      <c r="A432">
        <v>1009840</v>
      </c>
      <c r="B432">
        <v>10134</v>
      </c>
      <c r="C432" t="s">
        <v>34</v>
      </c>
      <c r="D432" t="str">
        <f t="shared" si="23"/>
        <v>SBINTEN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100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str">
        <f t="shared" si="24"/>
        <v>NotLake</v>
      </c>
      <c r="AA432">
        <v>10</v>
      </c>
      <c r="AB432">
        <v>2209249.6887300001</v>
      </c>
      <c r="AC432">
        <v>3422.7405779999999</v>
      </c>
      <c r="AD432">
        <v>347261.272252</v>
      </c>
      <c r="AE432">
        <v>0.34726099999999999</v>
      </c>
    </row>
    <row r="433" spans="1:31" x14ac:dyDescent="0.25">
      <c r="A433">
        <v>1009840</v>
      </c>
      <c r="B433">
        <v>10134</v>
      </c>
      <c r="C433" t="s">
        <v>34</v>
      </c>
      <c r="D433" t="str">
        <f t="shared" si="23"/>
        <v>SBINTEN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100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t="str">
        <f t="shared" si="24"/>
        <v>NotLake</v>
      </c>
      <c r="AA433">
        <v>10</v>
      </c>
      <c r="AB433">
        <v>2209249.6887300001</v>
      </c>
      <c r="AC433">
        <v>2165.354883</v>
      </c>
      <c r="AD433">
        <v>80137.483319999999</v>
      </c>
      <c r="AE433">
        <v>8.0137E-2</v>
      </c>
    </row>
    <row r="434" spans="1:31" x14ac:dyDescent="0.25">
      <c r="A434">
        <v>1009840</v>
      </c>
      <c r="B434">
        <v>10134</v>
      </c>
      <c r="C434" t="s">
        <v>34</v>
      </c>
      <c r="D434" t="str">
        <f t="shared" si="23"/>
        <v>SBINTEN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100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tr">
        <f t="shared" si="24"/>
        <v>NotLake</v>
      </c>
      <c r="AA434">
        <v>10</v>
      </c>
      <c r="AB434">
        <v>2209249.6887300001</v>
      </c>
      <c r="AC434">
        <v>1413.167653</v>
      </c>
      <c r="AD434">
        <v>41202.204790000003</v>
      </c>
      <c r="AE434">
        <v>4.1202000000000003E-2</v>
      </c>
    </row>
    <row r="435" spans="1:31" x14ac:dyDescent="0.25">
      <c r="A435">
        <v>1009647</v>
      </c>
      <c r="B435">
        <v>9454</v>
      </c>
      <c r="C435" t="s">
        <v>34</v>
      </c>
      <c r="D435" t="str">
        <f t="shared" si="23"/>
        <v>SBINTEN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100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tr">
        <f t="shared" si="24"/>
        <v>NotLake</v>
      </c>
      <c r="AA435">
        <v>0</v>
      </c>
      <c r="AB435">
        <v>417217.74838200002</v>
      </c>
      <c r="AC435">
        <v>835.73513700000001</v>
      </c>
      <c r="AD435">
        <v>13862.762645000001</v>
      </c>
      <c r="AE435">
        <v>1.3863E-2</v>
      </c>
    </row>
    <row r="436" spans="1:31" x14ac:dyDescent="0.25">
      <c r="A436">
        <v>1010139</v>
      </c>
      <c r="B436">
        <v>9961</v>
      </c>
      <c r="C436" t="s">
        <v>34</v>
      </c>
      <c r="D436" t="str">
        <f t="shared" si="23"/>
        <v>SBINTEN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100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t="str">
        <f t="shared" si="24"/>
        <v>NotLake</v>
      </c>
      <c r="AA436">
        <v>15</v>
      </c>
      <c r="AB436">
        <v>1662601.4959199999</v>
      </c>
      <c r="AC436">
        <v>2434.3509429999999</v>
      </c>
      <c r="AD436">
        <v>257105.78417</v>
      </c>
      <c r="AE436">
        <v>0.257106</v>
      </c>
    </row>
    <row r="437" spans="1:31" x14ac:dyDescent="0.25">
      <c r="A437">
        <v>1010139</v>
      </c>
      <c r="B437">
        <v>9961</v>
      </c>
      <c r="C437" t="s">
        <v>34</v>
      </c>
      <c r="D437" t="str">
        <f t="shared" si="23"/>
        <v>WATER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100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25</v>
      </c>
      <c r="Z437" t="str">
        <f t="shared" si="24"/>
        <v>Lake</v>
      </c>
      <c r="AA437">
        <v>15</v>
      </c>
      <c r="AB437">
        <v>1662601.4959199999</v>
      </c>
      <c r="AC437">
        <v>883.96181999999999</v>
      </c>
      <c r="AD437">
        <v>11484.869064</v>
      </c>
      <c r="AE437">
        <v>1.1485E-2</v>
      </c>
    </row>
    <row r="438" spans="1:31" x14ac:dyDescent="0.25">
      <c r="A438">
        <v>1009710</v>
      </c>
      <c r="B438">
        <v>9610</v>
      </c>
      <c r="C438" t="s">
        <v>34</v>
      </c>
      <c r="D438" t="str">
        <f t="shared" si="23"/>
        <v>SBINTEN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100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tr">
        <f t="shared" si="24"/>
        <v>NotLake</v>
      </c>
      <c r="AA438">
        <v>4</v>
      </c>
      <c r="AB438">
        <v>624933.80375199998</v>
      </c>
      <c r="AC438">
        <v>1110.421857</v>
      </c>
      <c r="AD438">
        <v>23574.292975</v>
      </c>
      <c r="AE438">
        <v>2.3574000000000001E-2</v>
      </c>
    </row>
    <row r="439" spans="1:31" x14ac:dyDescent="0.25">
      <c r="A439">
        <v>1009808</v>
      </c>
      <c r="B439">
        <v>9675</v>
      </c>
      <c r="C439" t="s">
        <v>34</v>
      </c>
      <c r="D439" t="str">
        <f t="shared" si="23"/>
        <v>SBINTEN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t="str">
        <f t="shared" si="24"/>
        <v>NotLake</v>
      </c>
      <c r="AA439">
        <v>8</v>
      </c>
      <c r="AB439">
        <v>325505.16677000001</v>
      </c>
      <c r="AC439">
        <v>415.526634</v>
      </c>
      <c r="AD439">
        <v>5925.1774750000004</v>
      </c>
      <c r="AE439">
        <v>5.9249999999999997E-3</v>
      </c>
    </row>
    <row r="440" spans="1:31" x14ac:dyDescent="0.25">
      <c r="A440">
        <v>1009885</v>
      </c>
      <c r="B440">
        <v>9905</v>
      </c>
      <c r="C440" t="s">
        <v>34</v>
      </c>
      <c r="D440" t="str">
        <f t="shared" si="23"/>
        <v>SBINTEN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100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 t="str">
        <f t="shared" si="24"/>
        <v>NotLake</v>
      </c>
      <c r="AA440">
        <v>11</v>
      </c>
      <c r="AB440">
        <v>303926.051056</v>
      </c>
      <c r="AC440">
        <v>1628.810618</v>
      </c>
      <c r="AD440">
        <v>82329.270562000005</v>
      </c>
      <c r="AE440">
        <v>8.2328999999999999E-2</v>
      </c>
    </row>
    <row r="441" spans="1:31" x14ac:dyDescent="0.25">
      <c r="A441">
        <v>1010121</v>
      </c>
      <c r="B441">
        <v>9962</v>
      </c>
      <c r="C441" t="s">
        <v>34</v>
      </c>
      <c r="D441" t="str">
        <f t="shared" si="23"/>
        <v>SBINTEN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100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tr">
        <f t="shared" si="24"/>
        <v>NotLake</v>
      </c>
      <c r="AA441">
        <v>14</v>
      </c>
      <c r="AB441">
        <v>1941333.5943100001</v>
      </c>
      <c r="AC441">
        <v>297.81808699999999</v>
      </c>
      <c r="AD441">
        <v>4085.4385860000002</v>
      </c>
      <c r="AE441">
        <v>4.0850000000000001E-3</v>
      </c>
    </row>
    <row r="442" spans="1:31" x14ac:dyDescent="0.25">
      <c r="A442">
        <v>1010461</v>
      </c>
      <c r="B442">
        <v>10402</v>
      </c>
      <c r="C442" t="s">
        <v>34</v>
      </c>
      <c r="D442" t="str">
        <f t="shared" si="23"/>
        <v>SBINTEN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tr">
        <f t="shared" si="24"/>
        <v>NotLake</v>
      </c>
      <c r="AA442">
        <v>40</v>
      </c>
      <c r="AB442">
        <v>938753.97368599998</v>
      </c>
      <c r="AC442">
        <v>2414.984054</v>
      </c>
      <c r="AD442">
        <v>162581.489306</v>
      </c>
      <c r="AE442">
        <v>0.162581</v>
      </c>
    </row>
    <row r="443" spans="1:31" x14ac:dyDescent="0.25">
      <c r="A443">
        <v>1010288</v>
      </c>
      <c r="B443">
        <v>10178</v>
      </c>
      <c r="C443" t="s">
        <v>34</v>
      </c>
      <c r="D443" t="str">
        <f t="shared" si="23"/>
        <v>SBINTEN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100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t="str">
        <f t="shared" si="24"/>
        <v>NotLake</v>
      </c>
      <c r="AA443">
        <v>20</v>
      </c>
      <c r="AB443">
        <v>1401826.08345</v>
      </c>
      <c r="AC443">
        <v>1982.962906</v>
      </c>
      <c r="AD443">
        <v>47269.541749000004</v>
      </c>
      <c r="AE443">
        <v>4.727E-2</v>
      </c>
    </row>
    <row r="444" spans="1:31" x14ac:dyDescent="0.25">
      <c r="A444">
        <v>1010367</v>
      </c>
      <c r="B444">
        <v>10416</v>
      </c>
      <c r="C444" t="s">
        <v>34</v>
      </c>
      <c r="D444" t="str">
        <f t="shared" si="23"/>
        <v>SBINTEN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100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t="str">
        <f t="shared" si="24"/>
        <v>NotLake</v>
      </c>
      <c r="AA444">
        <v>31</v>
      </c>
      <c r="AB444">
        <v>243680.39809999999</v>
      </c>
      <c r="AC444">
        <v>2009.2184850000001</v>
      </c>
      <c r="AD444">
        <v>76607.492572999996</v>
      </c>
      <c r="AE444">
        <v>7.6606999999999995E-2</v>
      </c>
    </row>
    <row r="445" spans="1:31" x14ac:dyDescent="0.25">
      <c r="A445">
        <v>1010404</v>
      </c>
      <c r="B445">
        <v>10182</v>
      </c>
      <c r="C445" t="s">
        <v>34</v>
      </c>
      <c r="D445" t="str">
        <f t="shared" si="23"/>
        <v>SBINTEN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100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t="str">
        <f t="shared" si="24"/>
        <v>NotLake</v>
      </c>
      <c r="AA445">
        <v>36</v>
      </c>
      <c r="AB445">
        <v>222100.20581799999</v>
      </c>
      <c r="AC445">
        <v>187.98721399999999</v>
      </c>
      <c r="AD445">
        <v>1605.743213</v>
      </c>
      <c r="AE445">
        <v>1.606E-3</v>
      </c>
    </row>
    <row r="446" spans="1:31" x14ac:dyDescent="0.25">
      <c r="A446">
        <v>1010461</v>
      </c>
      <c r="B446">
        <v>10402</v>
      </c>
      <c r="C446" t="s">
        <v>34</v>
      </c>
      <c r="D446" t="str">
        <f t="shared" si="23"/>
        <v>SBINTEN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t="str">
        <f t="shared" si="24"/>
        <v>NotLake</v>
      </c>
      <c r="AA446">
        <v>40</v>
      </c>
      <c r="AB446">
        <v>938753.97368599998</v>
      </c>
      <c r="AC446">
        <v>707.29106100000001</v>
      </c>
      <c r="AD446">
        <v>4307.3051260000002</v>
      </c>
      <c r="AE446">
        <v>4.3070000000000001E-3</v>
      </c>
    </row>
    <row r="447" spans="1:31" x14ac:dyDescent="0.25">
      <c r="A447">
        <v>1010461</v>
      </c>
      <c r="B447">
        <v>10402</v>
      </c>
      <c r="C447" t="s">
        <v>34</v>
      </c>
      <c r="D447" t="str">
        <f t="shared" si="23"/>
        <v>SBINTEN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100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t="str">
        <f t="shared" si="24"/>
        <v>NotLake</v>
      </c>
      <c r="AA447">
        <v>40</v>
      </c>
      <c r="AB447">
        <v>938753.97368599998</v>
      </c>
      <c r="AC447">
        <v>151.51700700000001</v>
      </c>
      <c r="AD447">
        <v>153.54947300000001</v>
      </c>
      <c r="AE447">
        <v>1.54E-4</v>
      </c>
    </row>
    <row r="448" spans="1:31" x14ac:dyDescent="0.25">
      <c r="A448">
        <v>1010461</v>
      </c>
      <c r="B448">
        <v>10402</v>
      </c>
      <c r="C448" t="s">
        <v>34</v>
      </c>
      <c r="D448" t="str">
        <f t="shared" si="23"/>
        <v>SBINTEN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t="str">
        <f t="shared" si="24"/>
        <v>NotLake</v>
      </c>
      <c r="AA448">
        <v>40</v>
      </c>
      <c r="AB448">
        <v>938753.97368599998</v>
      </c>
      <c r="AC448">
        <v>145.739846</v>
      </c>
      <c r="AD448">
        <v>764.10983699999997</v>
      </c>
      <c r="AE448">
        <v>7.6400000000000003E-4</v>
      </c>
    </row>
    <row r="449" spans="1:31" x14ac:dyDescent="0.25">
      <c r="A449">
        <v>1010461</v>
      </c>
      <c r="B449">
        <v>10402</v>
      </c>
      <c r="C449" t="s">
        <v>34</v>
      </c>
      <c r="D449" t="str">
        <f t="shared" si="23"/>
        <v>SBINTEN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t="str">
        <f t="shared" si="24"/>
        <v>NotLake</v>
      </c>
      <c r="AA449">
        <v>40</v>
      </c>
      <c r="AB449">
        <v>938753.97368599998</v>
      </c>
      <c r="AC449">
        <v>55.594737000000002</v>
      </c>
      <c r="AD449">
        <v>34.003162000000003</v>
      </c>
      <c r="AE449">
        <v>3.4E-5</v>
      </c>
    </row>
    <row r="450" spans="1:31" x14ac:dyDescent="0.25">
      <c r="A450">
        <v>1009840</v>
      </c>
      <c r="B450">
        <v>10134</v>
      </c>
      <c r="C450" t="s">
        <v>34</v>
      </c>
      <c r="D450" t="str">
        <f t="shared" si="23"/>
        <v>SBINTEN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100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tr">
        <f t="shared" si="24"/>
        <v>NotLake</v>
      </c>
      <c r="AA450">
        <v>10</v>
      </c>
      <c r="AB450">
        <v>2209249.6887300001</v>
      </c>
      <c r="AC450">
        <v>417.57355999999999</v>
      </c>
      <c r="AD450">
        <v>10059.501552</v>
      </c>
      <c r="AE450">
        <v>1.0059999999999999E-2</v>
      </c>
    </row>
    <row r="451" spans="1:31" x14ac:dyDescent="0.25">
      <c r="A451">
        <v>1009840</v>
      </c>
      <c r="B451">
        <v>10134</v>
      </c>
      <c r="C451" t="s">
        <v>34</v>
      </c>
      <c r="D451" t="str">
        <f t="shared" ref="D451:D514" si="25">IF(Y451=0,C451,"WATER")</f>
        <v>SBINTEN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100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 t="str">
        <f t="shared" ref="Z451:Z514" si="26">IF(Y451=0,"NotLake","Lake")</f>
        <v>NotLake</v>
      </c>
      <c r="AA451">
        <v>10</v>
      </c>
      <c r="AB451">
        <v>2209249.6887300001</v>
      </c>
      <c r="AC451">
        <v>205.77723</v>
      </c>
      <c r="AD451">
        <v>1092.347998</v>
      </c>
      <c r="AE451">
        <v>1.0920000000000001E-3</v>
      </c>
    </row>
    <row r="452" spans="1:31" x14ac:dyDescent="0.25">
      <c r="A452">
        <v>1009840</v>
      </c>
      <c r="B452">
        <v>10134</v>
      </c>
      <c r="C452" t="s">
        <v>34</v>
      </c>
      <c r="D452" t="str">
        <f t="shared" si="25"/>
        <v>WATER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100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25</v>
      </c>
      <c r="Z452" t="str">
        <f t="shared" si="26"/>
        <v>Lake</v>
      </c>
      <c r="AA452">
        <v>10</v>
      </c>
      <c r="AB452">
        <v>2209249.6887300001</v>
      </c>
      <c r="AC452">
        <v>11.787984</v>
      </c>
      <c r="AD452">
        <v>3.4910589999999999</v>
      </c>
      <c r="AE452">
        <v>3.0000000000000001E-6</v>
      </c>
    </row>
    <row r="453" spans="1:31" x14ac:dyDescent="0.25">
      <c r="A453">
        <v>1009840</v>
      </c>
      <c r="B453">
        <v>10134</v>
      </c>
      <c r="C453" t="s">
        <v>34</v>
      </c>
      <c r="D453" t="str">
        <f t="shared" si="25"/>
        <v>SBINTEN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100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 t="str">
        <f t="shared" si="26"/>
        <v>NotLake</v>
      </c>
      <c r="AA453">
        <v>10</v>
      </c>
      <c r="AB453">
        <v>2209249.6887300001</v>
      </c>
      <c r="AC453">
        <v>441.32262200000002</v>
      </c>
      <c r="AD453">
        <v>5767.362478</v>
      </c>
      <c r="AE453">
        <v>5.7670000000000004E-3</v>
      </c>
    </row>
    <row r="454" spans="1:31" x14ac:dyDescent="0.25">
      <c r="A454">
        <v>1009840</v>
      </c>
      <c r="B454">
        <v>10134</v>
      </c>
      <c r="C454" t="s">
        <v>34</v>
      </c>
      <c r="D454" t="str">
        <f t="shared" si="25"/>
        <v>SBINTEN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100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 t="str">
        <f t="shared" si="26"/>
        <v>NotLake</v>
      </c>
      <c r="AA454">
        <v>10</v>
      </c>
      <c r="AB454">
        <v>2209249.6887300001</v>
      </c>
      <c r="AC454">
        <v>657.44780900000001</v>
      </c>
      <c r="AD454">
        <v>7149.5141940000003</v>
      </c>
      <c r="AE454">
        <v>7.1500000000000001E-3</v>
      </c>
    </row>
    <row r="455" spans="1:31" x14ac:dyDescent="0.25">
      <c r="A455">
        <v>1010359</v>
      </c>
      <c r="B455">
        <v>10700</v>
      </c>
      <c r="C455" t="s">
        <v>34</v>
      </c>
      <c r="D455" t="str">
        <f t="shared" si="25"/>
        <v>SBINTEN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100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t="str">
        <f t="shared" si="26"/>
        <v>NotLake</v>
      </c>
      <c r="AA455">
        <v>28</v>
      </c>
      <c r="AB455">
        <v>311110.45064200001</v>
      </c>
      <c r="AC455">
        <v>164.369305</v>
      </c>
      <c r="AD455">
        <v>1179.1540769999999</v>
      </c>
      <c r="AE455">
        <v>1.1789999999999999E-3</v>
      </c>
    </row>
    <row r="456" spans="1:31" x14ac:dyDescent="0.25">
      <c r="A456">
        <v>1010422</v>
      </c>
      <c r="B456">
        <v>10701</v>
      </c>
      <c r="C456" t="s">
        <v>34</v>
      </c>
      <c r="D456" t="str">
        <f t="shared" si="25"/>
        <v>SBINTEN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100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 t="str">
        <f t="shared" si="26"/>
        <v>NotLake</v>
      </c>
      <c r="AA456">
        <v>37</v>
      </c>
      <c r="AB456">
        <v>155554.77942400001</v>
      </c>
      <c r="AC456">
        <v>699.75437499999998</v>
      </c>
      <c r="AD456">
        <v>33762.658409999996</v>
      </c>
      <c r="AE456">
        <v>3.3763000000000001E-2</v>
      </c>
    </row>
    <row r="457" spans="1:31" x14ac:dyDescent="0.25">
      <c r="A457">
        <v>1009840</v>
      </c>
      <c r="B457">
        <v>10134</v>
      </c>
      <c r="C457" t="s">
        <v>34</v>
      </c>
      <c r="D457" t="str">
        <f t="shared" si="25"/>
        <v>SBINTEN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100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 t="str">
        <f t="shared" si="26"/>
        <v>NotLake</v>
      </c>
      <c r="AA457">
        <v>10</v>
      </c>
      <c r="AB457">
        <v>2209249.6887300001</v>
      </c>
      <c r="AC457">
        <v>170.351291</v>
      </c>
      <c r="AD457">
        <v>819.39667399999996</v>
      </c>
      <c r="AE457">
        <v>8.1899999999999996E-4</v>
      </c>
    </row>
    <row r="458" spans="1:31" x14ac:dyDescent="0.25">
      <c r="A458">
        <v>1009840</v>
      </c>
      <c r="B458">
        <v>10134</v>
      </c>
      <c r="C458" t="s">
        <v>34</v>
      </c>
      <c r="D458" t="str">
        <f t="shared" si="25"/>
        <v>WATER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100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25</v>
      </c>
      <c r="Z458" t="str">
        <f t="shared" si="26"/>
        <v>Lake</v>
      </c>
      <c r="AA458">
        <v>10</v>
      </c>
      <c r="AB458">
        <v>2209249.6887300001</v>
      </c>
      <c r="AC458">
        <v>244.066192</v>
      </c>
      <c r="AD458">
        <v>931.96865300000002</v>
      </c>
      <c r="AE458">
        <v>9.3199999999999999E-4</v>
      </c>
    </row>
    <row r="459" spans="1:31" x14ac:dyDescent="0.25">
      <c r="A459">
        <v>1009840</v>
      </c>
      <c r="B459">
        <v>10134</v>
      </c>
      <c r="C459" t="s">
        <v>34</v>
      </c>
      <c r="D459" t="str">
        <f t="shared" si="25"/>
        <v>SBINTEN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100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tr">
        <f t="shared" si="26"/>
        <v>NotLake</v>
      </c>
      <c r="AA459">
        <v>10</v>
      </c>
      <c r="AB459">
        <v>2209249.6887300001</v>
      </c>
      <c r="AC459">
        <v>765.79933900000003</v>
      </c>
      <c r="AD459">
        <v>27171.643263000002</v>
      </c>
      <c r="AE459">
        <v>2.7172000000000002E-2</v>
      </c>
    </row>
    <row r="460" spans="1:31" x14ac:dyDescent="0.25">
      <c r="A460">
        <v>1010359</v>
      </c>
      <c r="B460">
        <v>10700</v>
      </c>
      <c r="C460" t="s">
        <v>34</v>
      </c>
      <c r="D460" t="str">
        <f t="shared" si="25"/>
        <v>SBINTEN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100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t="str">
        <f t="shared" si="26"/>
        <v>NotLake</v>
      </c>
      <c r="AA460">
        <v>28</v>
      </c>
      <c r="AB460">
        <v>311110.45064200001</v>
      </c>
      <c r="AC460">
        <v>331.16356300000001</v>
      </c>
      <c r="AD460">
        <v>4752.1503679999996</v>
      </c>
      <c r="AE460">
        <v>4.7520000000000001E-3</v>
      </c>
    </row>
    <row r="461" spans="1:31" x14ac:dyDescent="0.25">
      <c r="A461">
        <v>1009840</v>
      </c>
      <c r="B461">
        <v>10134</v>
      </c>
      <c r="C461" t="s">
        <v>34</v>
      </c>
      <c r="D461" t="str">
        <f t="shared" si="25"/>
        <v>SBINTEN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100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t="str">
        <f t="shared" si="26"/>
        <v>NotLake</v>
      </c>
      <c r="AA461">
        <v>10</v>
      </c>
      <c r="AB461">
        <v>2209249.6887300001</v>
      </c>
      <c r="AC461">
        <v>160.011033</v>
      </c>
      <c r="AD461">
        <v>381.65514999999999</v>
      </c>
      <c r="AE461">
        <v>3.8200000000000002E-4</v>
      </c>
    </row>
    <row r="462" spans="1:31" x14ac:dyDescent="0.25">
      <c r="A462">
        <v>1009840</v>
      </c>
      <c r="B462">
        <v>10134</v>
      </c>
      <c r="C462" t="s">
        <v>34</v>
      </c>
      <c r="D462" t="str">
        <f t="shared" si="25"/>
        <v>WATER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100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25</v>
      </c>
      <c r="Z462" t="str">
        <f t="shared" si="26"/>
        <v>Lake</v>
      </c>
      <c r="AA462">
        <v>10</v>
      </c>
      <c r="AB462">
        <v>2209249.6887300001</v>
      </c>
      <c r="AC462">
        <v>30.485645999999999</v>
      </c>
      <c r="AD462">
        <v>28.861988</v>
      </c>
      <c r="AE462">
        <v>2.9E-5</v>
      </c>
    </row>
    <row r="463" spans="1:31" x14ac:dyDescent="0.25">
      <c r="A463">
        <v>1010300</v>
      </c>
      <c r="B463">
        <v>10371</v>
      </c>
      <c r="C463" t="s">
        <v>34</v>
      </c>
      <c r="D463" t="str">
        <f t="shared" si="25"/>
        <v>SBINTEN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100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tr">
        <f t="shared" si="26"/>
        <v>NotLake</v>
      </c>
      <c r="AA463">
        <v>22</v>
      </c>
      <c r="AB463">
        <v>811054.57942700002</v>
      </c>
      <c r="AC463">
        <v>1114.3326689999999</v>
      </c>
      <c r="AD463">
        <v>29150.653055999999</v>
      </c>
      <c r="AE463">
        <v>2.9151E-2</v>
      </c>
    </row>
    <row r="464" spans="1:31" x14ac:dyDescent="0.25">
      <c r="A464">
        <v>1010300</v>
      </c>
      <c r="B464">
        <v>10371</v>
      </c>
      <c r="C464" t="s">
        <v>34</v>
      </c>
      <c r="D464" t="str">
        <f t="shared" si="25"/>
        <v>WATER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100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25</v>
      </c>
      <c r="Z464" t="str">
        <f t="shared" si="26"/>
        <v>Lake</v>
      </c>
      <c r="AA464">
        <v>22</v>
      </c>
      <c r="AB464">
        <v>811054.57942700002</v>
      </c>
      <c r="AC464">
        <v>111.52939600000001</v>
      </c>
      <c r="AD464">
        <v>216.571831</v>
      </c>
      <c r="AE464">
        <v>2.1699999999999999E-4</v>
      </c>
    </row>
    <row r="465" spans="1:31" x14ac:dyDescent="0.25">
      <c r="A465">
        <v>1010306</v>
      </c>
      <c r="B465">
        <v>10370</v>
      </c>
      <c r="C465" t="s">
        <v>34</v>
      </c>
      <c r="D465" t="str">
        <f t="shared" si="25"/>
        <v>SBINTEN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100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 t="str">
        <f t="shared" si="26"/>
        <v>NotLake</v>
      </c>
      <c r="AA465">
        <v>24</v>
      </c>
      <c r="AB465">
        <v>133978.16968799999</v>
      </c>
      <c r="AC465">
        <v>16.892365999999999</v>
      </c>
      <c r="AD465">
        <v>11.540412999999999</v>
      </c>
      <c r="AE465">
        <v>1.2E-5</v>
      </c>
    </row>
    <row r="466" spans="1:31" x14ac:dyDescent="0.25">
      <c r="A466">
        <v>1010366</v>
      </c>
      <c r="B466">
        <v>10263</v>
      </c>
      <c r="C466" t="s">
        <v>34</v>
      </c>
      <c r="D466" t="str">
        <f t="shared" si="25"/>
        <v>SBINTEN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100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t="str">
        <f t="shared" si="26"/>
        <v>NotLake</v>
      </c>
      <c r="AA466">
        <v>30</v>
      </c>
      <c r="AB466">
        <v>1623010.61307</v>
      </c>
      <c r="AC466">
        <v>5387.1560159999999</v>
      </c>
      <c r="AD466">
        <v>425387.71790300001</v>
      </c>
      <c r="AE466">
        <v>0.42538799999999999</v>
      </c>
    </row>
    <row r="467" spans="1:31" x14ac:dyDescent="0.25">
      <c r="A467">
        <v>1010366</v>
      </c>
      <c r="B467">
        <v>10263</v>
      </c>
      <c r="C467" t="s">
        <v>34</v>
      </c>
      <c r="D467" t="str">
        <f t="shared" si="25"/>
        <v>WATER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100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25</v>
      </c>
      <c r="Z467" t="str">
        <f t="shared" si="26"/>
        <v>Lake</v>
      </c>
      <c r="AA467">
        <v>30</v>
      </c>
      <c r="AB467">
        <v>1623010.61307</v>
      </c>
      <c r="AC467">
        <v>832.76232500000003</v>
      </c>
      <c r="AD467">
        <v>2367.0742770000002</v>
      </c>
      <c r="AE467">
        <v>2.3670000000000002E-3</v>
      </c>
    </row>
    <row r="468" spans="1:31" x14ac:dyDescent="0.25">
      <c r="A468">
        <v>1010387</v>
      </c>
      <c r="B468">
        <v>10369</v>
      </c>
      <c r="C468" t="s">
        <v>34</v>
      </c>
      <c r="D468" t="str">
        <f t="shared" si="25"/>
        <v>SBINTEN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100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 t="str">
        <f t="shared" si="26"/>
        <v>NotLake</v>
      </c>
      <c r="AA468">
        <v>33</v>
      </c>
      <c r="AB468">
        <v>284141.21308399999</v>
      </c>
      <c r="AC468">
        <v>2454.3741439999999</v>
      </c>
      <c r="AD468">
        <v>104608.063446</v>
      </c>
      <c r="AE468">
        <v>0.10460800000000001</v>
      </c>
    </row>
    <row r="469" spans="1:31" x14ac:dyDescent="0.25">
      <c r="A469">
        <v>1010474</v>
      </c>
      <c r="B469">
        <v>10429</v>
      </c>
      <c r="C469" t="s">
        <v>34</v>
      </c>
      <c r="D469" t="str">
        <f t="shared" si="25"/>
        <v>SBINTEN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100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t="str">
        <f t="shared" si="26"/>
        <v>NotLake</v>
      </c>
      <c r="AA469">
        <v>42</v>
      </c>
      <c r="AB469">
        <v>1544781.51786</v>
      </c>
      <c r="AC469">
        <v>425.13497699999999</v>
      </c>
      <c r="AD469">
        <v>3157.5092209999998</v>
      </c>
      <c r="AE469">
        <v>3.1580000000000002E-3</v>
      </c>
    </row>
    <row r="470" spans="1:31" x14ac:dyDescent="0.25">
      <c r="A470">
        <v>1010548</v>
      </c>
      <c r="B470">
        <v>10318</v>
      </c>
      <c r="C470" t="s">
        <v>34</v>
      </c>
      <c r="D470" t="str">
        <f t="shared" si="25"/>
        <v>SBINTEN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100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 t="str">
        <f t="shared" si="26"/>
        <v>NotLake</v>
      </c>
      <c r="AA470">
        <v>44</v>
      </c>
      <c r="AB470">
        <v>254468.65062599999</v>
      </c>
      <c r="AC470">
        <v>471.88186200000001</v>
      </c>
      <c r="AD470">
        <v>7064.9319370000003</v>
      </c>
      <c r="AE470">
        <v>7.0650000000000001E-3</v>
      </c>
    </row>
    <row r="471" spans="1:31" x14ac:dyDescent="0.25">
      <c r="A471">
        <v>1010556</v>
      </c>
      <c r="B471">
        <v>10368</v>
      </c>
      <c r="C471" t="s">
        <v>34</v>
      </c>
      <c r="D471" t="str">
        <f t="shared" si="25"/>
        <v>SBINTEN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100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t="str">
        <f t="shared" si="26"/>
        <v>NotLake</v>
      </c>
      <c r="AA471">
        <v>45</v>
      </c>
      <c r="AB471">
        <v>340789.19214499998</v>
      </c>
      <c r="AC471">
        <v>2986.6830989999999</v>
      </c>
      <c r="AD471">
        <v>152378.75079399999</v>
      </c>
      <c r="AE471">
        <v>0.15237899999999999</v>
      </c>
    </row>
    <row r="472" spans="1:31" x14ac:dyDescent="0.25">
      <c r="A472">
        <v>1010366</v>
      </c>
      <c r="B472">
        <v>10263</v>
      </c>
      <c r="C472" t="s">
        <v>34</v>
      </c>
      <c r="D472" t="str">
        <f t="shared" si="25"/>
        <v>SBINTEN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100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 t="str">
        <f t="shared" si="26"/>
        <v>NotLake</v>
      </c>
      <c r="AA472">
        <v>30</v>
      </c>
      <c r="AB472">
        <v>1623010.61307</v>
      </c>
      <c r="AC472">
        <v>2899.016091</v>
      </c>
      <c r="AD472">
        <v>70196.928071999995</v>
      </c>
      <c r="AE472">
        <v>7.0196999999999996E-2</v>
      </c>
    </row>
    <row r="473" spans="1:31" x14ac:dyDescent="0.25">
      <c r="A473">
        <v>1010366</v>
      </c>
      <c r="B473">
        <v>10263</v>
      </c>
      <c r="C473" t="s">
        <v>34</v>
      </c>
      <c r="D473" t="str">
        <f t="shared" si="25"/>
        <v>WATER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100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25</v>
      </c>
      <c r="Z473" t="str">
        <f t="shared" si="26"/>
        <v>Lake</v>
      </c>
      <c r="AA473">
        <v>30</v>
      </c>
      <c r="AB473">
        <v>1623010.61307</v>
      </c>
      <c r="AC473">
        <v>271.89403800000002</v>
      </c>
      <c r="AD473">
        <v>832.49310800000001</v>
      </c>
      <c r="AE473">
        <v>8.3199999999999995E-4</v>
      </c>
    </row>
    <row r="474" spans="1:31" x14ac:dyDescent="0.25">
      <c r="A474">
        <v>1010423</v>
      </c>
      <c r="B474">
        <v>10241</v>
      </c>
      <c r="C474" t="s">
        <v>34</v>
      </c>
      <c r="D474" t="str">
        <f t="shared" si="25"/>
        <v>SBINTEN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100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t="str">
        <f t="shared" si="26"/>
        <v>NotLake</v>
      </c>
      <c r="AA474">
        <v>38</v>
      </c>
      <c r="AB474">
        <v>403724.58460399997</v>
      </c>
      <c r="AC474">
        <v>1740.858262</v>
      </c>
      <c r="AD474">
        <v>111449.944281</v>
      </c>
      <c r="AE474">
        <v>0.11144999999999999</v>
      </c>
    </row>
    <row r="475" spans="1:31" x14ac:dyDescent="0.25">
      <c r="A475">
        <v>1010423</v>
      </c>
      <c r="B475">
        <v>10241</v>
      </c>
      <c r="C475" t="s">
        <v>34</v>
      </c>
      <c r="D475" t="str">
        <f t="shared" si="25"/>
        <v>WATER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100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25</v>
      </c>
      <c r="Z475" t="str">
        <f t="shared" si="26"/>
        <v>Lake</v>
      </c>
      <c r="AA475">
        <v>38</v>
      </c>
      <c r="AB475">
        <v>403724.58460399997</v>
      </c>
      <c r="AC475">
        <v>479.99046199999998</v>
      </c>
      <c r="AD475">
        <v>2003.4963990000001</v>
      </c>
      <c r="AE475">
        <v>2.003E-3</v>
      </c>
    </row>
    <row r="476" spans="1:31" x14ac:dyDescent="0.25">
      <c r="A476">
        <v>1010424</v>
      </c>
      <c r="B476">
        <v>10697</v>
      </c>
      <c r="C476" t="s">
        <v>34</v>
      </c>
      <c r="D476" t="str">
        <f t="shared" si="25"/>
        <v>SBINTEN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100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 t="str">
        <f t="shared" si="26"/>
        <v>NotLake</v>
      </c>
      <c r="AA476">
        <v>39</v>
      </c>
      <c r="AB476">
        <v>191522.43302999999</v>
      </c>
      <c r="AC476">
        <v>1650.3331149999999</v>
      </c>
      <c r="AD476">
        <v>55061.267017999999</v>
      </c>
      <c r="AE476">
        <v>5.5060999999999999E-2</v>
      </c>
    </row>
    <row r="477" spans="1:31" x14ac:dyDescent="0.25">
      <c r="A477">
        <v>1010424</v>
      </c>
      <c r="B477">
        <v>10697</v>
      </c>
      <c r="C477" t="s">
        <v>34</v>
      </c>
      <c r="D477" t="str">
        <f t="shared" si="25"/>
        <v>WATER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100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25</v>
      </c>
      <c r="Z477" t="str">
        <f t="shared" si="26"/>
        <v>Lake</v>
      </c>
      <c r="AA477">
        <v>39</v>
      </c>
      <c r="AB477">
        <v>191522.43302999999</v>
      </c>
      <c r="AC477">
        <v>904.69487500000002</v>
      </c>
      <c r="AD477">
        <v>4500.1148009999997</v>
      </c>
      <c r="AE477">
        <v>4.4999999999999997E-3</v>
      </c>
    </row>
    <row r="478" spans="1:31" x14ac:dyDescent="0.25">
      <c r="A478">
        <v>1010474</v>
      </c>
      <c r="B478">
        <v>10429</v>
      </c>
      <c r="C478" t="s">
        <v>34</v>
      </c>
      <c r="D478" t="str">
        <f t="shared" si="25"/>
        <v>SBINTEN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100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t="str">
        <f t="shared" si="26"/>
        <v>NotLake</v>
      </c>
      <c r="AA478">
        <v>42</v>
      </c>
      <c r="AB478">
        <v>1544781.51786</v>
      </c>
      <c r="AC478">
        <v>9731.9925239999993</v>
      </c>
      <c r="AD478">
        <v>670944.34595999995</v>
      </c>
      <c r="AE478">
        <v>0.67094399999999998</v>
      </c>
    </row>
    <row r="479" spans="1:31" x14ac:dyDescent="0.25">
      <c r="A479">
        <v>1010474</v>
      </c>
      <c r="B479">
        <v>10429</v>
      </c>
      <c r="C479" t="s">
        <v>34</v>
      </c>
      <c r="D479" t="str">
        <f t="shared" si="25"/>
        <v>WATER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100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25</v>
      </c>
      <c r="Z479" t="str">
        <f t="shared" si="26"/>
        <v>Lake</v>
      </c>
      <c r="AA479">
        <v>42</v>
      </c>
      <c r="AB479">
        <v>1544781.51786</v>
      </c>
      <c r="AC479">
        <v>845.97442699999999</v>
      </c>
      <c r="AD479">
        <v>5587.8234640000001</v>
      </c>
      <c r="AE479">
        <v>5.5880000000000001E-3</v>
      </c>
    </row>
    <row r="480" spans="1:31" x14ac:dyDescent="0.25">
      <c r="A480">
        <v>1010490</v>
      </c>
      <c r="B480">
        <v>10696</v>
      </c>
      <c r="C480" t="s">
        <v>34</v>
      </c>
      <c r="D480" t="str">
        <f t="shared" si="25"/>
        <v>SBINTEN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100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 t="str">
        <f t="shared" si="26"/>
        <v>NotLake</v>
      </c>
      <c r="AA480">
        <v>43</v>
      </c>
      <c r="AB480">
        <v>1010666.12703</v>
      </c>
      <c r="AC480">
        <v>5662.7944630000002</v>
      </c>
      <c r="AD480">
        <v>508640.61094799999</v>
      </c>
      <c r="AE480">
        <v>0.50864100000000001</v>
      </c>
    </row>
    <row r="481" spans="1:31" x14ac:dyDescent="0.25">
      <c r="A481">
        <v>1010490</v>
      </c>
      <c r="B481">
        <v>10696</v>
      </c>
      <c r="C481" t="s">
        <v>34</v>
      </c>
      <c r="D481" t="str">
        <f t="shared" si="25"/>
        <v>WATER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100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25</v>
      </c>
      <c r="Z481" t="str">
        <f t="shared" si="26"/>
        <v>Lake</v>
      </c>
      <c r="AA481">
        <v>43</v>
      </c>
      <c r="AB481">
        <v>1010666.12703</v>
      </c>
      <c r="AC481">
        <v>2589.6801869999999</v>
      </c>
      <c r="AD481">
        <v>20993.559494000001</v>
      </c>
      <c r="AE481">
        <v>2.0993999999999999E-2</v>
      </c>
    </row>
    <row r="482" spans="1:31" x14ac:dyDescent="0.25">
      <c r="A482">
        <v>1010660</v>
      </c>
      <c r="B482">
        <v>10449</v>
      </c>
      <c r="C482" t="s">
        <v>34</v>
      </c>
      <c r="D482" t="str">
        <f t="shared" si="25"/>
        <v>SBINTEN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100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t="str">
        <f t="shared" si="26"/>
        <v>NotLake</v>
      </c>
      <c r="AA482">
        <v>46</v>
      </c>
      <c r="AB482">
        <v>513427.38872300001</v>
      </c>
      <c r="AC482">
        <v>2608.5995189999999</v>
      </c>
      <c r="AD482">
        <v>168221.07238500001</v>
      </c>
      <c r="AE482">
        <v>0.16822100000000001</v>
      </c>
    </row>
    <row r="483" spans="1:31" x14ac:dyDescent="0.25">
      <c r="A483">
        <v>1010422</v>
      </c>
      <c r="B483">
        <v>10701</v>
      </c>
      <c r="C483" t="s">
        <v>34</v>
      </c>
      <c r="D483" t="str">
        <f t="shared" si="25"/>
        <v>SBINTEN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100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t="str">
        <f t="shared" si="26"/>
        <v>NotLake</v>
      </c>
      <c r="AA483">
        <v>37</v>
      </c>
      <c r="AB483">
        <v>155554.77942400001</v>
      </c>
      <c r="AC483">
        <v>487.21280000000002</v>
      </c>
      <c r="AD483">
        <v>4248.2782870000001</v>
      </c>
      <c r="AE483">
        <v>4.248E-3</v>
      </c>
    </row>
    <row r="484" spans="1:31" x14ac:dyDescent="0.25">
      <c r="A484">
        <v>1010422</v>
      </c>
      <c r="B484">
        <v>10701</v>
      </c>
      <c r="C484" t="s">
        <v>34</v>
      </c>
      <c r="D484" t="str">
        <f t="shared" si="25"/>
        <v>SBINTEN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100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t="str">
        <f t="shared" si="26"/>
        <v>NotLake</v>
      </c>
      <c r="AA484">
        <v>37</v>
      </c>
      <c r="AB484">
        <v>155554.77942400001</v>
      </c>
      <c r="AC484">
        <v>82.949074999999993</v>
      </c>
      <c r="AD484">
        <v>204.50628699999999</v>
      </c>
      <c r="AE484">
        <v>2.05E-4</v>
      </c>
    </row>
    <row r="485" spans="1:31" x14ac:dyDescent="0.25">
      <c r="A485">
        <v>1010422</v>
      </c>
      <c r="B485">
        <v>10701</v>
      </c>
      <c r="C485" t="s">
        <v>34</v>
      </c>
      <c r="D485" t="str">
        <f t="shared" si="25"/>
        <v>SBINTEN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100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 t="str">
        <f t="shared" si="26"/>
        <v>NotLake</v>
      </c>
      <c r="AA485">
        <v>37</v>
      </c>
      <c r="AB485">
        <v>155554.77942400001</v>
      </c>
      <c r="AC485">
        <v>240.912587</v>
      </c>
      <c r="AD485">
        <v>1402.1095600000001</v>
      </c>
      <c r="AE485">
        <v>1.402E-3</v>
      </c>
    </row>
    <row r="486" spans="1:31" x14ac:dyDescent="0.25">
      <c r="A486">
        <v>1010423</v>
      </c>
      <c r="B486">
        <v>10241</v>
      </c>
      <c r="C486" t="s">
        <v>34</v>
      </c>
      <c r="D486" t="str">
        <f t="shared" si="25"/>
        <v>SBINTEN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 t="str">
        <f t="shared" si="26"/>
        <v>NotLake</v>
      </c>
      <c r="AA486">
        <v>38</v>
      </c>
      <c r="AB486">
        <v>403724.58460399997</v>
      </c>
      <c r="AC486">
        <v>405.64944800000001</v>
      </c>
      <c r="AD486">
        <v>5560.7448450000002</v>
      </c>
      <c r="AE486">
        <v>5.561E-3</v>
      </c>
    </row>
    <row r="487" spans="1:31" x14ac:dyDescent="0.25">
      <c r="A487">
        <v>1010423</v>
      </c>
      <c r="B487">
        <v>10241</v>
      </c>
      <c r="C487" t="s">
        <v>34</v>
      </c>
      <c r="D487" t="str">
        <f t="shared" si="25"/>
        <v>SBINTEN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100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t="str">
        <f t="shared" si="26"/>
        <v>NotLake</v>
      </c>
      <c r="AA487">
        <v>38</v>
      </c>
      <c r="AB487">
        <v>403724.58460399997</v>
      </c>
      <c r="AC487">
        <v>1492.501047</v>
      </c>
      <c r="AD487">
        <v>89379.105341999995</v>
      </c>
      <c r="AE487">
        <v>8.9379E-2</v>
      </c>
    </row>
    <row r="488" spans="1:31" x14ac:dyDescent="0.25">
      <c r="A488">
        <v>1010424</v>
      </c>
      <c r="B488">
        <v>10697</v>
      </c>
      <c r="C488" t="s">
        <v>34</v>
      </c>
      <c r="D488" t="str">
        <f t="shared" si="25"/>
        <v>SBINTEN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100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 t="str">
        <f t="shared" si="26"/>
        <v>NotLake</v>
      </c>
      <c r="AA488">
        <v>39</v>
      </c>
      <c r="AB488">
        <v>191522.43302999999</v>
      </c>
      <c r="AC488">
        <v>832.223299</v>
      </c>
      <c r="AD488">
        <v>18624.725840999999</v>
      </c>
      <c r="AE488">
        <v>1.8624999999999999E-2</v>
      </c>
    </row>
    <row r="489" spans="1:31" x14ac:dyDescent="0.25">
      <c r="A489">
        <v>1010490</v>
      </c>
      <c r="B489">
        <v>10696</v>
      </c>
      <c r="C489" t="s">
        <v>34</v>
      </c>
      <c r="D489" t="str">
        <f t="shared" si="25"/>
        <v>SBINTEN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100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 t="str">
        <f t="shared" si="26"/>
        <v>NotLake</v>
      </c>
      <c r="AA489">
        <v>43</v>
      </c>
      <c r="AB489">
        <v>1010666.12703</v>
      </c>
      <c r="AC489">
        <v>1233.3621370000001</v>
      </c>
      <c r="AD489">
        <v>54101.579061999997</v>
      </c>
      <c r="AE489">
        <v>5.4101999999999997E-2</v>
      </c>
    </row>
    <row r="490" spans="1:31" x14ac:dyDescent="0.25">
      <c r="A490">
        <v>1010359</v>
      </c>
      <c r="B490">
        <v>10700</v>
      </c>
      <c r="C490" t="s">
        <v>34</v>
      </c>
      <c r="D490" t="str">
        <f t="shared" si="25"/>
        <v>SBINTEN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 t="str">
        <f t="shared" si="26"/>
        <v>NotLake</v>
      </c>
      <c r="AA490">
        <v>28</v>
      </c>
      <c r="AB490">
        <v>311110.45064200001</v>
      </c>
      <c r="AC490">
        <v>3.224027</v>
      </c>
      <c r="AD490">
        <v>0.42126200000000003</v>
      </c>
      <c r="AE490">
        <v>0</v>
      </c>
    </row>
    <row r="491" spans="1:31" x14ac:dyDescent="0.25">
      <c r="A491">
        <v>1010359</v>
      </c>
      <c r="B491">
        <v>10700</v>
      </c>
      <c r="C491" t="s">
        <v>34</v>
      </c>
      <c r="D491" t="str">
        <f t="shared" si="25"/>
        <v>SBINTEN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100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 t="str">
        <f t="shared" si="26"/>
        <v>NotLake</v>
      </c>
      <c r="AA491">
        <v>28</v>
      </c>
      <c r="AB491">
        <v>311110.45064200001</v>
      </c>
      <c r="AC491">
        <v>191.578901</v>
      </c>
      <c r="AD491">
        <v>451.81043299999999</v>
      </c>
      <c r="AE491">
        <v>4.5199999999999998E-4</v>
      </c>
    </row>
    <row r="492" spans="1:31" x14ac:dyDescent="0.25">
      <c r="A492">
        <v>1010423</v>
      </c>
      <c r="B492">
        <v>10241</v>
      </c>
      <c r="C492" t="s">
        <v>34</v>
      </c>
      <c r="D492" t="str">
        <f t="shared" si="25"/>
        <v>SBINTEN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 t="str">
        <f t="shared" si="26"/>
        <v>NotLake</v>
      </c>
      <c r="AA492">
        <v>38</v>
      </c>
      <c r="AB492">
        <v>403724.58460399997</v>
      </c>
      <c r="AC492">
        <v>244.57094799999999</v>
      </c>
      <c r="AD492">
        <v>1544.0554070000001</v>
      </c>
      <c r="AE492">
        <v>1.544E-3</v>
      </c>
    </row>
    <row r="493" spans="1:31" x14ac:dyDescent="0.25">
      <c r="A493">
        <v>1010359</v>
      </c>
      <c r="B493">
        <v>10700</v>
      </c>
      <c r="C493" t="s">
        <v>34</v>
      </c>
      <c r="D493" t="str">
        <f t="shared" si="25"/>
        <v>SBINTEN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100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 t="str">
        <f t="shared" si="26"/>
        <v>NotLake</v>
      </c>
      <c r="AA493">
        <v>28</v>
      </c>
      <c r="AB493">
        <v>311110.45064200001</v>
      </c>
      <c r="AC493">
        <v>296.20037100000002</v>
      </c>
      <c r="AD493">
        <v>3398.77243</v>
      </c>
      <c r="AE493">
        <v>3.3990000000000001E-3</v>
      </c>
    </row>
    <row r="494" spans="1:31" x14ac:dyDescent="0.25">
      <c r="A494">
        <v>1010423</v>
      </c>
      <c r="B494">
        <v>10241</v>
      </c>
      <c r="C494" t="s">
        <v>34</v>
      </c>
      <c r="D494" t="str">
        <f t="shared" si="25"/>
        <v>SBINTEN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100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 t="str">
        <f t="shared" si="26"/>
        <v>NotLake</v>
      </c>
      <c r="AA494">
        <v>38</v>
      </c>
      <c r="AB494">
        <v>403724.58460399997</v>
      </c>
      <c r="AC494">
        <v>569.26267800000005</v>
      </c>
      <c r="AD494">
        <v>13477.654028999999</v>
      </c>
      <c r="AE494">
        <v>1.3478E-2</v>
      </c>
    </row>
    <row r="495" spans="1:31" x14ac:dyDescent="0.25">
      <c r="A495">
        <v>1010423</v>
      </c>
      <c r="B495">
        <v>10241</v>
      </c>
      <c r="C495" t="s">
        <v>34</v>
      </c>
      <c r="D495" t="str">
        <f t="shared" si="25"/>
        <v>SBINTEN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100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 t="str">
        <f t="shared" si="26"/>
        <v>NotLake</v>
      </c>
      <c r="AA495">
        <v>38</v>
      </c>
      <c r="AB495">
        <v>403724.58460399997</v>
      </c>
      <c r="AC495">
        <v>934.48635000000002</v>
      </c>
      <c r="AD495">
        <v>40454.556538999997</v>
      </c>
      <c r="AE495">
        <v>4.0454999999999998E-2</v>
      </c>
    </row>
    <row r="496" spans="1:31" x14ac:dyDescent="0.25">
      <c r="A496">
        <v>1010548</v>
      </c>
      <c r="B496">
        <v>10318</v>
      </c>
      <c r="C496" t="s">
        <v>34</v>
      </c>
      <c r="D496" t="str">
        <f t="shared" si="25"/>
        <v>SBINTEN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100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t="str">
        <f t="shared" si="26"/>
        <v>NotLake</v>
      </c>
      <c r="AA496">
        <v>44</v>
      </c>
      <c r="AB496">
        <v>254468.65062599999</v>
      </c>
      <c r="AC496">
        <v>657.90973199999996</v>
      </c>
      <c r="AD496">
        <v>13208.171656</v>
      </c>
      <c r="AE496">
        <v>1.3207999999999999E-2</v>
      </c>
    </row>
    <row r="497" spans="1:31" x14ac:dyDescent="0.25">
      <c r="A497">
        <v>1010556</v>
      </c>
      <c r="B497">
        <v>10368</v>
      </c>
      <c r="C497" t="s">
        <v>34</v>
      </c>
      <c r="D497" t="str">
        <f t="shared" si="25"/>
        <v>SBINTEN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100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 t="str">
        <f t="shared" si="26"/>
        <v>NotLake</v>
      </c>
      <c r="AA497">
        <v>45</v>
      </c>
      <c r="AB497">
        <v>340789.19214499998</v>
      </c>
      <c r="AC497">
        <v>1016.159798</v>
      </c>
      <c r="AD497">
        <v>18082.520457999999</v>
      </c>
      <c r="AE497">
        <v>1.8082999999999998E-2</v>
      </c>
    </row>
    <row r="498" spans="1:31" x14ac:dyDescent="0.25">
      <c r="A498">
        <v>1010490</v>
      </c>
      <c r="B498">
        <v>10696</v>
      </c>
      <c r="C498" t="s">
        <v>34</v>
      </c>
      <c r="D498" t="str">
        <f t="shared" si="25"/>
        <v>SBINTEN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100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 t="str">
        <f t="shared" si="26"/>
        <v>NotLake</v>
      </c>
      <c r="AA498">
        <v>43</v>
      </c>
      <c r="AB498">
        <v>1010666.12703</v>
      </c>
      <c r="AC498">
        <v>1307.8900430000001</v>
      </c>
      <c r="AD498">
        <v>30876.154397999999</v>
      </c>
      <c r="AE498">
        <v>3.0876000000000001E-2</v>
      </c>
    </row>
    <row r="499" spans="1:31" x14ac:dyDescent="0.25">
      <c r="A499">
        <v>1010665</v>
      </c>
      <c r="B499">
        <v>10695</v>
      </c>
      <c r="C499" t="s">
        <v>34</v>
      </c>
      <c r="D499" t="str">
        <f t="shared" si="25"/>
        <v>SBINTEN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100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 t="str">
        <f t="shared" si="26"/>
        <v>NotLake</v>
      </c>
      <c r="AA499">
        <v>47</v>
      </c>
      <c r="AB499">
        <v>362365.16101899999</v>
      </c>
      <c r="AC499">
        <v>2063.407103</v>
      </c>
      <c r="AD499">
        <v>47805.177681000001</v>
      </c>
      <c r="AE499">
        <v>4.7805E-2</v>
      </c>
    </row>
    <row r="500" spans="1:31" x14ac:dyDescent="0.25">
      <c r="A500">
        <v>1010847</v>
      </c>
      <c r="B500">
        <v>10694</v>
      </c>
      <c r="C500" t="s">
        <v>34</v>
      </c>
      <c r="D500" t="str">
        <f t="shared" si="25"/>
        <v>SBINTEN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100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t="str">
        <f t="shared" si="26"/>
        <v>NotLake</v>
      </c>
      <c r="AA500">
        <v>48</v>
      </c>
      <c r="AB500">
        <v>499037.49365199998</v>
      </c>
      <c r="AC500">
        <v>1667.8361629999999</v>
      </c>
      <c r="AD500">
        <v>28241.20336</v>
      </c>
      <c r="AE500">
        <v>2.8240999999999999E-2</v>
      </c>
    </row>
    <row r="501" spans="1:31" x14ac:dyDescent="0.25">
      <c r="A501">
        <v>1010556</v>
      </c>
      <c r="B501">
        <v>10368</v>
      </c>
      <c r="C501" t="s">
        <v>34</v>
      </c>
      <c r="D501" t="str">
        <f t="shared" si="25"/>
        <v>SBINTEN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100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 t="str">
        <f t="shared" si="26"/>
        <v>NotLake</v>
      </c>
      <c r="AA501">
        <v>45</v>
      </c>
      <c r="AB501">
        <v>340789.19214499998</v>
      </c>
      <c r="AC501">
        <v>750.49334399999998</v>
      </c>
      <c r="AD501">
        <v>11845.499648000001</v>
      </c>
      <c r="AE501">
        <v>1.1846000000000001E-2</v>
      </c>
    </row>
    <row r="502" spans="1:31" x14ac:dyDescent="0.25">
      <c r="A502">
        <v>1010366</v>
      </c>
      <c r="B502">
        <v>10263</v>
      </c>
      <c r="C502" t="s">
        <v>34</v>
      </c>
      <c r="D502" t="str">
        <f t="shared" si="25"/>
        <v>SBINTEN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100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 t="str">
        <f t="shared" si="26"/>
        <v>NotLake</v>
      </c>
      <c r="AA502">
        <v>30</v>
      </c>
      <c r="AB502">
        <v>1623010.61307</v>
      </c>
      <c r="AC502">
        <v>495.64122400000002</v>
      </c>
      <c r="AD502">
        <v>10774.53333</v>
      </c>
      <c r="AE502">
        <v>1.0775E-2</v>
      </c>
    </row>
    <row r="503" spans="1:31" x14ac:dyDescent="0.25">
      <c r="A503">
        <v>1010474</v>
      </c>
      <c r="B503">
        <v>10429</v>
      </c>
      <c r="C503" t="s">
        <v>34</v>
      </c>
      <c r="D503" t="str">
        <f t="shared" si="25"/>
        <v>SBINTEN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100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 t="str">
        <f t="shared" si="26"/>
        <v>NotLake</v>
      </c>
      <c r="AA503">
        <v>42</v>
      </c>
      <c r="AB503">
        <v>1544781.51786</v>
      </c>
      <c r="AC503">
        <v>1801.241773</v>
      </c>
      <c r="AD503">
        <v>106623.016298</v>
      </c>
      <c r="AE503">
        <v>0.106623</v>
      </c>
    </row>
    <row r="504" spans="1:31" x14ac:dyDescent="0.25">
      <c r="A504">
        <v>1010556</v>
      </c>
      <c r="B504">
        <v>10368</v>
      </c>
      <c r="C504" t="s">
        <v>34</v>
      </c>
      <c r="D504" t="str">
        <f t="shared" si="25"/>
        <v>SBINTEN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100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 t="str">
        <f t="shared" si="26"/>
        <v>NotLake</v>
      </c>
      <c r="AA504">
        <v>45</v>
      </c>
      <c r="AB504">
        <v>340789.19214499998</v>
      </c>
      <c r="AC504">
        <v>1236.6962269999999</v>
      </c>
      <c r="AD504">
        <v>14915.714819000001</v>
      </c>
      <c r="AE504">
        <v>1.4916E-2</v>
      </c>
    </row>
    <row r="505" spans="1:31" x14ac:dyDescent="0.25">
      <c r="A505">
        <v>1010660</v>
      </c>
      <c r="B505">
        <v>10449</v>
      </c>
      <c r="C505" t="s">
        <v>34</v>
      </c>
      <c r="D505" t="str">
        <f t="shared" si="25"/>
        <v>SBINTEN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100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 t="str">
        <f t="shared" si="26"/>
        <v>NotLake</v>
      </c>
      <c r="AA505">
        <v>46</v>
      </c>
      <c r="AB505">
        <v>513427.38872300001</v>
      </c>
      <c r="AC505">
        <v>435.82115599999997</v>
      </c>
      <c r="AD505">
        <v>6839.7583839999998</v>
      </c>
      <c r="AE505">
        <v>6.8399999999999997E-3</v>
      </c>
    </row>
    <row r="506" spans="1:31" x14ac:dyDescent="0.25">
      <c r="A506">
        <v>1010660</v>
      </c>
      <c r="B506">
        <v>10449</v>
      </c>
      <c r="C506" t="s">
        <v>34</v>
      </c>
      <c r="D506" t="str">
        <f t="shared" si="25"/>
        <v>SBINTEN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100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 t="str">
        <f t="shared" si="26"/>
        <v>NotLake</v>
      </c>
      <c r="AA506">
        <v>46</v>
      </c>
      <c r="AB506">
        <v>513427.38872300001</v>
      </c>
      <c r="AC506">
        <v>1804.2570209999999</v>
      </c>
      <c r="AD506">
        <v>69692.646236999994</v>
      </c>
      <c r="AE506">
        <v>6.9693000000000005E-2</v>
      </c>
    </row>
    <row r="507" spans="1:31" x14ac:dyDescent="0.25">
      <c r="A507">
        <v>1010848</v>
      </c>
      <c r="B507">
        <v>10614</v>
      </c>
      <c r="C507" t="s">
        <v>34</v>
      </c>
      <c r="D507" t="str">
        <f t="shared" si="25"/>
        <v>SBINTEN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100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 t="str">
        <f t="shared" si="26"/>
        <v>NotLake</v>
      </c>
      <c r="AA507">
        <v>49</v>
      </c>
      <c r="AB507">
        <v>520619.811216</v>
      </c>
      <c r="AC507">
        <v>1441.9683219999999</v>
      </c>
      <c r="AD507">
        <v>64491.891573000001</v>
      </c>
      <c r="AE507">
        <v>6.4491999999999994E-2</v>
      </c>
    </row>
    <row r="508" spans="1:31" x14ac:dyDescent="0.25">
      <c r="A508">
        <v>1010219</v>
      </c>
      <c r="B508">
        <v>10417</v>
      </c>
      <c r="C508" t="s">
        <v>34</v>
      </c>
      <c r="D508" t="str">
        <f t="shared" si="25"/>
        <v>SBINTEN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100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 t="str">
        <f t="shared" si="26"/>
        <v>NotLake</v>
      </c>
      <c r="AA508">
        <v>18</v>
      </c>
      <c r="AB508">
        <v>1828937.2124999999</v>
      </c>
      <c r="AC508">
        <v>1590.8667829999999</v>
      </c>
      <c r="AD508">
        <v>49366.052482999999</v>
      </c>
      <c r="AE508">
        <v>4.9366E-2</v>
      </c>
    </row>
    <row r="509" spans="1:31" x14ac:dyDescent="0.25">
      <c r="A509">
        <v>1010288</v>
      </c>
      <c r="B509">
        <v>10178</v>
      </c>
      <c r="C509" t="s">
        <v>34</v>
      </c>
      <c r="D509" t="str">
        <f t="shared" si="25"/>
        <v>SBINTEN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100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t="str">
        <f t="shared" si="26"/>
        <v>NotLake</v>
      </c>
      <c r="AA509">
        <v>20</v>
      </c>
      <c r="AB509">
        <v>1401826.08345</v>
      </c>
      <c r="AC509">
        <v>1543.3917349999999</v>
      </c>
      <c r="AD509">
        <v>109407.991175</v>
      </c>
      <c r="AE509">
        <v>0.10940800000000001</v>
      </c>
    </row>
    <row r="510" spans="1:31" x14ac:dyDescent="0.25">
      <c r="A510">
        <v>1010344</v>
      </c>
      <c r="B510">
        <v>10142</v>
      </c>
      <c r="C510" t="s">
        <v>34</v>
      </c>
      <c r="D510" t="str">
        <f t="shared" si="25"/>
        <v>SBINTEN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100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 t="str">
        <f t="shared" si="26"/>
        <v>NotLake</v>
      </c>
      <c r="AA510">
        <v>26</v>
      </c>
      <c r="AB510">
        <v>583577.16153899999</v>
      </c>
      <c r="AC510">
        <v>1564.9658159999999</v>
      </c>
      <c r="AD510">
        <v>62571.117069</v>
      </c>
      <c r="AE510">
        <v>6.2571000000000002E-2</v>
      </c>
    </row>
    <row r="511" spans="1:31" x14ac:dyDescent="0.25">
      <c r="A511">
        <v>1010367</v>
      </c>
      <c r="B511">
        <v>10416</v>
      </c>
      <c r="C511" t="s">
        <v>34</v>
      </c>
      <c r="D511" t="str">
        <f t="shared" si="25"/>
        <v>SBINTEN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100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t="str">
        <f t="shared" si="26"/>
        <v>NotLake</v>
      </c>
      <c r="AA511">
        <v>31</v>
      </c>
      <c r="AB511">
        <v>243680.39809999999</v>
      </c>
      <c r="AC511">
        <v>1387.86445</v>
      </c>
      <c r="AD511">
        <v>54819.984288</v>
      </c>
      <c r="AE511">
        <v>5.4820000000000001E-2</v>
      </c>
    </row>
    <row r="512" spans="1:31" x14ac:dyDescent="0.25">
      <c r="A512">
        <v>1010398</v>
      </c>
      <c r="B512">
        <v>10415</v>
      </c>
      <c r="C512" t="s">
        <v>34</v>
      </c>
      <c r="D512" t="str">
        <f t="shared" si="25"/>
        <v>SBINTEN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100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 t="str">
        <f t="shared" si="26"/>
        <v>NotLake</v>
      </c>
      <c r="AA512">
        <v>35</v>
      </c>
      <c r="AB512">
        <v>212209.53551300001</v>
      </c>
      <c r="AC512">
        <v>1634.6335140000001</v>
      </c>
      <c r="AD512">
        <v>32171.576592000001</v>
      </c>
      <c r="AE512">
        <v>3.2171999999999999E-2</v>
      </c>
    </row>
    <row r="513" spans="1:31" x14ac:dyDescent="0.25">
      <c r="A513">
        <v>1010404</v>
      </c>
      <c r="B513">
        <v>10182</v>
      </c>
      <c r="C513" t="s">
        <v>34</v>
      </c>
      <c r="D513" t="str">
        <f t="shared" si="25"/>
        <v>SBINTEN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100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 t="str">
        <f t="shared" si="26"/>
        <v>NotLake</v>
      </c>
      <c r="AA513">
        <v>36</v>
      </c>
      <c r="AB513">
        <v>222100.20581799999</v>
      </c>
      <c r="AC513">
        <v>733.62680799999998</v>
      </c>
      <c r="AD513">
        <v>13822.831882</v>
      </c>
      <c r="AE513">
        <v>1.3823E-2</v>
      </c>
    </row>
    <row r="514" spans="1:31" x14ac:dyDescent="0.25">
      <c r="A514">
        <v>1010461</v>
      </c>
      <c r="B514">
        <v>10402</v>
      </c>
      <c r="C514" t="s">
        <v>34</v>
      </c>
      <c r="D514" t="str">
        <f t="shared" si="25"/>
        <v>SBINTEN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100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 t="str">
        <f t="shared" si="26"/>
        <v>NotLake</v>
      </c>
      <c r="AA514">
        <v>40</v>
      </c>
      <c r="AB514">
        <v>938753.97368599998</v>
      </c>
      <c r="AC514">
        <v>36.650922000000001</v>
      </c>
      <c r="AD514">
        <v>47.275889999999997</v>
      </c>
      <c r="AE514">
        <v>4.6999999999999997E-5</v>
      </c>
    </row>
    <row r="515" spans="1:31" x14ac:dyDescent="0.25">
      <c r="A515">
        <v>1010106</v>
      </c>
      <c r="B515">
        <v>9923</v>
      </c>
      <c r="C515" t="s">
        <v>34</v>
      </c>
      <c r="D515" t="str">
        <f t="shared" ref="D515:D578" si="27">IF(Y515=0,C515,"WATER")</f>
        <v>SBINTEN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t="str">
        <f t="shared" ref="Z515:Z578" si="28">IF(Y515=0,"NotLake","Lake")</f>
        <v>NotLake</v>
      </c>
      <c r="AA515">
        <v>12</v>
      </c>
      <c r="AB515">
        <v>337197.66935500002</v>
      </c>
      <c r="AC515">
        <v>868.89898300000004</v>
      </c>
      <c r="AD515">
        <v>14212.828681000001</v>
      </c>
      <c r="AE515">
        <v>1.4213E-2</v>
      </c>
    </row>
    <row r="516" spans="1:31" x14ac:dyDescent="0.25">
      <c r="A516">
        <v>1010847</v>
      </c>
      <c r="B516">
        <v>10694</v>
      </c>
      <c r="C516" t="s">
        <v>34</v>
      </c>
      <c r="D516" t="str">
        <f t="shared" si="27"/>
        <v>SBINTEN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100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 t="str">
        <f t="shared" si="28"/>
        <v>NotLake</v>
      </c>
      <c r="AA516">
        <v>48</v>
      </c>
      <c r="AB516">
        <v>499037.49365199998</v>
      </c>
      <c r="AC516">
        <v>880.64929800000004</v>
      </c>
      <c r="AD516">
        <v>12002.303655</v>
      </c>
      <c r="AE516">
        <v>1.2002000000000001E-2</v>
      </c>
    </row>
    <row r="517" spans="1:31" x14ac:dyDescent="0.25">
      <c r="A517">
        <v>1010344</v>
      </c>
      <c r="B517">
        <v>10142</v>
      </c>
      <c r="C517" t="s">
        <v>34</v>
      </c>
      <c r="D517" t="str">
        <f t="shared" si="27"/>
        <v>SBINTEN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100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t="str">
        <f t="shared" si="28"/>
        <v>NotLake</v>
      </c>
      <c r="AA517">
        <v>26</v>
      </c>
      <c r="AB517">
        <v>583577.16153899999</v>
      </c>
      <c r="AC517">
        <v>490.01207900000003</v>
      </c>
      <c r="AD517">
        <v>8015.3953309999997</v>
      </c>
      <c r="AE517">
        <v>8.0149999999999996E-3</v>
      </c>
    </row>
    <row r="518" spans="1:31" x14ac:dyDescent="0.25">
      <c r="A518">
        <v>1010462</v>
      </c>
      <c r="B518">
        <v>10414</v>
      </c>
      <c r="C518" t="s">
        <v>34</v>
      </c>
      <c r="D518" t="str">
        <f t="shared" si="27"/>
        <v>SBINTEN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100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 t="str">
        <f t="shared" si="28"/>
        <v>NotLake</v>
      </c>
      <c r="AA518">
        <v>41</v>
      </c>
      <c r="AB518">
        <v>1152767.33971</v>
      </c>
      <c r="AC518">
        <v>1513.9940079999999</v>
      </c>
      <c r="AD518">
        <v>47822.207060000001</v>
      </c>
      <c r="AE518">
        <v>4.7822000000000003E-2</v>
      </c>
    </row>
    <row r="519" spans="1:31" x14ac:dyDescent="0.25">
      <c r="A519">
        <v>1010367</v>
      </c>
      <c r="B519">
        <v>10416</v>
      </c>
      <c r="C519" t="s">
        <v>34</v>
      </c>
      <c r="D519" t="str">
        <f t="shared" si="27"/>
        <v>SBINTEN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100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 t="str">
        <f t="shared" si="28"/>
        <v>NotLake</v>
      </c>
      <c r="AA519">
        <v>31</v>
      </c>
      <c r="AB519">
        <v>243680.39809999999</v>
      </c>
      <c r="AC519">
        <v>549.85027000000002</v>
      </c>
      <c r="AD519">
        <v>8302.1515350000009</v>
      </c>
      <c r="AE519">
        <v>8.3020000000000004E-3</v>
      </c>
    </row>
    <row r="520" spans="1:31" x14ac:dyDescent="0.25">
      <c r="A520">
        <v>1010398</v>
      </c>
      <c r="B520">
        <v>10415</v>
      </c>
      <c r="C520" t="s">
        <v>34</v>
      </c>
      <c r="D520" t="str">
        <f t="shared" si="27"/>
        <v>SBINTEN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100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 t="str">
        <f t="shared" si="28"/>
        <v>NotLake</v>
      </c>
      <c r="AA520">
        <v>35</v>
      </c>
      <c r="AB520">
        <v>212209.53551300001</v>
      </c>
      <c r="AC520">
        <v>30.806104999999999</v>
      </c>
      <c r="AD520">
        <v>57.967202</v>
      </c>
      <c r="AE520">
        <v>5.8E-5</v>
      </c>
    </row>
    <row r="521" spans="1:31" x14ac:dyDescent="0.25">
      <c r="A521">
        <v>1010404</v>
      </c>
      <c r="B521">
        <v>10182</v>
      </c>
      <c r="C521" t="s">
        <v>34</v>
      </c>
      <c r="D521" t="str">
        <f t="shared" si="27"/>
        <v>SBINTEN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100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 t="str">
        <f t="shared" si="28"/>
        <v>NotLake</v>
      </c>
      <c r="AA521">
        <v>36</v>
      </c>
      <c r="AB521">
        <v>222100.20581799999</v>
      </c>
      <c r="AC521">
        <v>1072.7541470000001</v>
      </c>
      <c r="AD521">
        <v>32392.179852000001</v>
      </c>
      <c r="AE521">
        <v>3.2391999999999997E-2</v>
      </c>
    </row>
    <row r="522" spans="1:31" x14ac:dyDescent="0.25">
      <c r="A522">
        <v>1010461</v>
      </c>
      <c r="B522">
        <v>10402</v>
      </c>
      <c r="C522" t="s">
        <v>34</v>
      </c>
      <c r="D522" t="str">
        <f t="shared" si="27"/>
        <v>SBINTEN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100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 t="str">
        <f t="shared" si="28"/>
        <v>NotLake</v>
      </c>
      <c r="AA522">
        <v>40</v>
      </c>
      <c r="AB522">
        <v>938753.97368599998</v>
      </c>
      <c r="AC522">
        <v>1086.150263</v>
      </c>
      <c r="AD522">
        <v>39717.877609000003</v>
      </c>
      <c r="AE522">
        <v>3.9718000000000003E-2</v>
      </c>
    </row>
    <row r="523" spans="1:31" x14ac:dyDescent="0.25">
      <c r="A523">
        <v>1010367</v>
      </c>
      <c r="B523">
        <v>10416</v>
      </c>
      <c r="C523" t="s">
        <v>34</v>
      </c>
      <c r="D523" t="str">
        <f t="shared" si="27"/>
        <v>SBINTEN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100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t="str">
        <f t="shared" si="28"/>
        <v>NotLake</v>
      </c>
      <c r="AA523">
        <v>31</v>
      </c>
      <c r="AB523">
        <v>243680.39809999999</v>
      </c>
      <c r="AC523">
        <v>369.784065</v>
      </c>
      <c r="AD523">
        <v>2753.320201</v>
      </c>
      <c r="AE523">
        <v>2.7529999999999998E-3</v>
      </c>
    </row>
    <row r="524" spans="1:31" x14ac:dyDescent="0.25">
      <c r="A524">
        <v>1010461</v>
      </c>
      <c r="B524">
        <v>10402</v>
      </c>
      <c r="C524" t="s">
        <v>34</v>
      </c>
      <c r="D524" t="str">
        <f t="shared" si="27"/>
        <v>SBINTEN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100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t="str">
        <f t="shared" si="28"/>
        <v>NotLake</v>
      </c>
      <c r="AA524">
        <v>40</v>
      </c>
      <c r="AB524">
        <v>938753.97368599998</v>
      </c>
      <c r="AC524">
        <v>88.645764999999997</v>
      </c>
      <c r="AD524">
        <v>420.72415899999999</v>
      </c>
      <c r="AE524">
        <v>4.2099999999999999E-4</v>
      </c>
    </row>
    <row r="525" spans="1:31" x14ac:dyDescent="0.25">
      <c r="A525">
        <v>1010461</v>
      </c>
      <c r="B525">
        <v>10402</v>
      </c>
      <c r="C525" t="s">
        <v>34</v>
      </c>
      <c r="D525" t="str">
        <f t="shared" si="27"/>
        <v>SBINTEN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100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 t="str">
        <f t="shared" si="28"/>
        <v>NotLake</v>
      </c>
      <c r="AA525">
        <v>40</v>
      </c>
      <c r="AB525">
        <v>938753.97368599998</v>
      </c>
      <c r="AC525">
        <v>1512.7090330000001</v>
      </c>
      <c r="AD525">
        <v>43548.486322999997</v>
      </c>
      <c r="AE525">
        <v>4.3548000000000003E-2</v>
      </c>
    </row>
    <row r="526" spans="1:31" x14ac:dyDescent="0.25">
      <c r="A526">
        <v>1009698</v>
      </c>
      <c r="B526">
        <v>9480</v>
      </c>
      <c r="C526" t="s">
        <v>34</v>
      </c>
      <c r="D526" t="str">
        <f t="shared" si="27"/>
        <v>SBINTEN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 t="str">
        <f t="shared" si="28"/>
        <v>NotLake</v>
      </c>
      <c r="AA526">
        <v>2</v>
      </c>
      <c r="AB526">
        <v>2613890.82766</v>
      </c>
      <c r="AC526">
        <v>379.03631000000001</v>
      </c>
      <c r="AD526">
        <v>4975.150971</v>
      </c>
      <c r="AE526">
        <v>4.9750000000000003E-3</v>
      </c>
    </row>
    <row r="527" spans="1:31" x14ac:dyDescent="0.25">
      <c r="A527">
        <v>1009698</v>
      </c>
      <c r="B527">
        <v>9480</v>
      </c>
      <c r="C527" t="s">
        <v>34</v>
      </c>
      <c r="D527" t="str">
        <f t="shared" si="27"/>
        <v>WATER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100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25</v>
      </c>
      <c r="Z527" t="str">
        <f t="shared" si="28"/>
        <v>Lake</v>
      </c>
      <c r="AA527">
        <v>2</v>
      </c>
      <c r="AB527">
        <v>2613890.82766</v>
      </c>
      <c r="AC527">
        <v>540.02375300000006</v>
      </c>
      <c r="AD527">
        <v>12345.539142</v>
      </c>
      <c r="AE527">
        <v>1.2345999999999999E-2</v>
      </c>
    </row>
    <row r="528" spans="1:31" x14ac:dyDescent="0.25">
      <c r="A528">
        <v>1009840</v>
      </c>
      <c r="B528">
        <v>10134</v>
      </c>
      <c r="C528" t="s">
        <v>34</v>
      </c>
      <c r="D528" t="str">
        <f t="shared" si="27"/>
        <v>SBINTEN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100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t="str">
        <f t="shared" si="28"/>
        <v>NotLake</v>
      </c>
      <c r="AA528">
        <v>10</v>
      </c>
      <c r="AB528">
        <v>2209249.6887300001</v>
      </c>
      <c r="AC528">
        <v>2701.6776970000001</v>
      </c>
      <c r="AD528">
        <v>219159.84683200001</v>
      </c>
      <c r="AE528">
        <v>0.21915999999999999</v>
      </c>
    </row>
    <row r="529" spans="1:31" x14ac:dyDescent="0.25">
      <c r="A529">
        <v>1009840</v>
      </c>
      <c r="B529">
        <v>10134</v>
      </c>
      <c r="C529" t="s">
        <v>34</v>
      </c>
      <c r="D529" t="str">
        <f t="shared" si="27"/>
        <v>WATER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100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25</v>
      </c>
      <c r="Z529" t="str">
        <f t="shared" si="28"/>
        <v>Lake</v>
      </c>
      <c r="AA529">
        <v>10</v>
      </c>
      <c r="AB529">
        <v>2209249.6887300001</v>
      </c>
      <c r="AC529">
        <v>1546.425336</v>
      </c>
      <c r="AD529">
        <v>24628.179684999999</v>
      </c>
      <c r="AE529">
        <v>2.4628000000000001E-2</v>
      </c>
    </row>
    <row r="530" spans="1:31" x14ac:dyDescent="0.25">
      <c r="A530">
        <v>1009840</v>
      </c>
      <c r="B530">
        <v>10134</v>
      </c>
      <c r="C530" t="s">
        <v>34</v>
      </c>
      <c r="D530" t="str">
        <f t="shared" si="27"/>
        <v>SBINTEN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100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t="str">
        <f t="shared" si="28"/>
        <v>NotLake</v>
      </c>
      <c r="AA530">
        <v>10</v>
      </c>
      <c r="AB530">
        <v>2209249.6887300001</v>
      </c>
      <c r="AC530">
        <v>72.423316</v>
      </c>
      <c r="AD530">
        <v>181.78547399999999</v>
      </c>
      <c r="AE530">
        <v>1.8200000000000001E-4</v>
      </c>
    </row>
    <row r="531" spans="1:31" x14ac:dyDescent="0.25">
      <c r="A531">
        <v>1009840</v>
      </c>
      <c r="B531">
        <v>10134</v>
      </c>
      <c r="C531" t="s">
        <v>34</v>
      </c>
      <c r="D531" t="str">
        <f t="shared" si="27"/>
        <v>WATER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25</v>
      </c>
      <c r="Z531" t="str">
        <f t="shared" si="28"/>
        <v>Lake</v>
      </c>
      <c r="AA531">
        <v>10</v>
      </c>
      <c r="AB531">
        <v>2209249.6887300001</v>
      </c>
      <c r="AC531">
        <v>181.216251</v>
      </c>
      <c r="AD531">
        <v>1005.193203</v>
      </c>
      <c r="AE531">
        <v>1.005E-3</v>
      </c>
    </row>
    <row r="532" spans="1:31" x14ac:dyDescent="0.25">
      <c r="A532">
        <v>1009840</v>
      </c>
      <c r="B532">
        <v>10134</v>
      </c>
      <c r="C532" t="s">
        <v>34</v>
      </c>
      <c r="D532" t="str">
        <f t="shared" si="27"/>
        <v>SBINTEN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100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t="str">
        <f t="shared" si="28"/>
        <v>NotLake</v>
      </c>
      <c r="AA532">
        <v>10</v>
      </c>
      <c r="AB532">
        <v>2209249.6887300001</v>
      </c>
      <c r="AC532">
        <v>704.71234200000004</v>
      </c>
      <c r="AD532">
        <v>9898.1685409999991</v>
      </c>
      <c r="AE532">
        <v>9.8980000000000005E-3</v>
      </c>
    </row>
    <row r="533" spans="1:31" x14ac:dyDescent="0.25">
      <c r="A533">
        <v>1009840</v>
      </c>
      <c r="B533">
        <v>10134</v>
      </c>
      <c r="C533" t="s">
        <v>34</v>
      </c>
      <c r="D533" t="str">
        <f t="shared" si="27"/>
        <v>WATER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100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25</v>
      </c>
      <c r="Z533" t="str">
        <f t="shared" si="28"/>
        <v>Lake</v>
      </c>
      <c r="AA533">
        <v>10</v>
      </c>
      <c r="AB533">
        <v>2209249.6887300001</v>
      </c>
      <c r="AC533">
        <v>234.67046400000001</v>
      </c>
      <c r="AD533">
        <v>1517.0874160000001</v>
      </c>
      <c r="AE533">
        <v>1.5169999999999999E-3</v>
      </c>
    </row>
    <row r="534" spans="1:31" x14ac:dyDescent="0.25">
      <c r="A534">
        <v>1009840</v>
      </c>
      <c r="B534">
        <v>10134</v>
      </c>
      <c r="C534" t="s">
        <v>34</v>
      </c>
      <c r="D534" t="str">
        <f t="shared" si="27"/>
        <v>SBINTEN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 t="str">
        <f t="shared" si="28"/>
        <v>NotLake</v>
      </c>
      <c r="AA534">
        <v>10</v>
      </c>
      <c r="AB534">
        <v>2209249.6887300001</v>
      </c>
      <c r="AC534">
        <v>10.203132999999999</v>
      </c>
      <c r="AD534">
        <v>1.271936</v>
      </c>
      <c r="AE534">
        <v>9.9999999999999995E-7</v>
      </c>
    </row>
    <row r="535" spans="1:31" x14ac:dyDescent="0.25">
      <c r="A535">
        <v>1009840</v>
      </c>
      <c r="B535">
        <v>10134</v>
      </c>
      <c r="C535" t="s">
        <v>34</v>
      </c>
      <c r="D535" t="str">
        <f t="shared" si="27"/>
        <v>SBINTEN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100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t="str">
        <f t="shared" si="28"/>
        <v>NotLake</v>
      </c>
      <c r="AA535">
        <v>10</v>
      </c>
      <c r="AB535">
        <v>2209249.6887300001</v>
      </c>
      <c r="AC535">
        <v>1306.1653269999999</v>
      </c>
      <c r="AD535">
        <v>15259.214766999999</v>
      </c>
      <c r="AE535">
        <v>1.5259E-2</v>
      </c>
    </row>
    <row r="536" spans="1:31" x14ac:dyDescent="0.25">
      <c r="A536">
        <v>1009840</v>
      </c>
      <c r="B536">
        <v>10134</v>
      </c>
      <c r="C536" t="s">
        <v>34</v>
      </c>
      <c r="D536" t="str">
        <f t="shared" si="27"/>
        <v>WATER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100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25</v>
      </c>
      <c r="Z536" t="str">
        <f t="shared" si="28"/>
        <v>Lake</v>
      </c>
      <c r="AA536">
        <v>10</v>
      </c>
      <c r="AB536">
        <v>2209249.6887300001</v>
      </c>
      <c r="AC536">
        <v>1448.09393</v>
      </c>
      <c r="AD536">
        <v>18240.633828999999</v>
      </c>
      <c r="AE536">
        <v>1.8241E-2</v>
      </c>
    </row>
    <row r="537" spans="1:31" x14ac:dyDescent="0.25">
      <c r="A537">
        <v>1009698</v>
      </c>
      <c r="B537">
        <v>9480</v>
      </c>
      <c r="C537" t="s">
        <v>34</v>
      </c>
      <c r="D537" t="str">
        <f t="shared" si="27"/>
        <v>WATER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100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25</v>
      </c>
      <c r="Z537" t="str">
        <f t="shared" si="28"/>
        <v>Lake</v>
      </c>
      <c r="AA537">
        <v>2</v>
      </c>
      <c r="AB537">
        <v>2613890.82766</v>
      </c>
      <c r="AC537">
        <v>293.74528600000002</v>
      </c>
      <c r="AD537">
        <v>2766.0494039999999</v>
      </c>
      <c r="AE537">
        <v>2.7659999999999998E-3</v>
      </c>
    </row>
    <row r="538" spans="1:31" x14ac:dyDescent="0.25">
      <c r="A538">
        <v>1009840</v>
      </c>
      <c r="B538">
        <v>10134</v>
      </c>
      <c r="C538" t="s">
        <v>34</v>
      </c>
      <c r="D538" t="str">
        <f t="shared" si="27"/>
        <v>SBINTEN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100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t="str">
        <f t="shared" si="28"/>
        <v>NotLake</v>
      </c>
      <c r="AA538">
        <v>10</v>
      </c>
      <c r="AB538">
        <v>2209249.6887300001</v>
      </c>
      <c r="AC538">
        <v>217.04683700000001</v>
      </c>
      <c r="AD538">
        <v>729.89531799999997</v>
      </c>
      <c r="AE538">
        <v>7.2999999999999996E-4</v>
      </c>
    </row>
    <row r="539" spans="1:31" x14ac:dyDescent="0.25">
      <c r="A539">
        <v>1009840</v>
      </c>
      <c r="B539">
        <v>10134</v>
      </c>
      <c r="C539" t="s">
        <v>34</v>
      </c>
      <c r="D539" t="str">
        <f t="shared" si="27"/>
        <v>WATER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100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25</v>
      </c>
      <c r="Z539" t="str">
        <f t="shared" si="28"/>
        <v>Lake</v>
      </c>
      <c r="AA539">
        <v>10</v>
      </c>
      <c r="AB539">
        <v>2209249.6887300001</v>
      </c>
      <c r="AC539">
        <v>558.68968199999995</v>
      </c>
      <c r="AD539">
        <v>5048.7981879999998</v>
      </c>
      <c r="AE539">
        <v>5.0489999999999997E-3</v>
      </c>
    </row>
    <row r="540" spans="1:31" x14ac:dyDescent="0.25">
      <c r="A540">
        <v>1010660</v>
      </c>
      <c r="B540">
        <v>10449</v>
      </c>
      <c r="C540" t="s">
        <v>34</v>
      </c>
      <c r="D540" t="str">
        <f t="shared" si="27"/>
        <v>SBINTEN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t="str">
        <f t="shared" si="28"/>
        <v>NotLake</v>
      </c>
      <c r="AA540">
        <v>46</v>
      </c>
      <c r="AB540">
        <v>513427.38872300001</v>
      </c>
      <c r="AC540">
        <v>73.899511000000004</v>
      </c>
      <c r="AD540">
        <v>94.334609999999998</v>
      </c>
      <c r="AE540">
        <v>9.3999999999999994E-5</v>
      </c>
    </row>
    <row r="541" spans="1:31" x14ac:dyDescent="0.25">
      <c r="A541">
        <v>1010665</v>
      </c>
      <c r="B541">
        <v>10695</v>
      </c>
      <c r="C541" t="s">
        <v>34</v>
      </c>
      <c r="D541" t="str">
        <f t="shared" si="27"/>
        <v>SBINTEN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100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 t="str">
        <f t="shared" si="28"/>
        <v>NotLake</v>
      </c>
      <c r="AA541">
        <v>47</v>
      </c>
      <c r="AB541">
        <v>362365.16101899999</v>
      </c>
      <c r="AC541">
        <v>99.763245999999995</v>
      </c>
      <c r="AD541">
        <v>353.10221799999999</v>
      </c>
      <c r="AE541">
        <v>3.5300000000000002E-4</v>
      </c>
    </row>
    <row r="542" spans="1:31" x14ac:dyDescent="0.25">
      <c r="A542">
        <v>1010461</v>
      </c>
      <c r="B542">
        <v>10402</v>
      </c>
      <c r="C542" t="s">
        <v>34</v>
      </c>
      <c r="D542" t="str">
        <f t="shared" si="27"/>
        <v>SBINTEN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100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tr">
        <f t="shared" si="28"/>
        <v>NotLake</v>
      </c>
      <c r="AA542">
        <v>40</v>
      </c>
      <c r="AB542">
        <v>938753.97368599998</v>
      </c>
      <c r="AC542">
        <v>434.66807599999999</v>
      </c>
      <c r="AD542">
        <v>2478.4191000000001</v>
      </c>
      <c r="AE542">
        <v>2.4780000000000002E-3</v>
      </c>
    </row>
    <row r="543" spans="1:31" x14ac:dyDescent="0.25">
      <c r="A543">
        <v>1010461</v>
      </c>
      <c r="B543">
        <v>10402</v>
      </c>
      <c r="C543" t="s">
        <v>34</v>
      </c>
      <c r="D543" t="str">
        <f t="shared" si="27"/>
        <v>SBINTEN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100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 t="str">
        <f t="shared" si="28"/>
        <v>NotLake</v>
      </c>
      <c r="AA543">
        <v>40</v>
      </c>
      <c r="AB543">
        <v>938753.97368599998</v>
      </c>
      <c r="AC543">
        <v>896.50558000000001</v>
      </c>
      <c r="AD543">
        <v>7963.4274210000003</v>
      </c>
      <c r="AE543">
        <v>7.9629999999999996E-3</v>
      </c>
    </row>
    <row r="544" spans="1:31" x14ac:dyDescent="0.25">
      <c r="A544">
        <v>1010462</v>
      </c>
      <c r="B544">
        <v>10414</v>
      </c>
      <c r="C544" t="s">
        <v>34</v>
      </c>
      <c r="D544" t="str">
        <f t="shared" si="27"/>
        <v>SBINTEN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100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 t="str">
        <f t="shared" si="28"/>
        <v>NotLake</v>
      </c>
      <c r="AA544">
        <v>41</v>
      </c>
      <c r="AB544">
        <v>1152767.33971</v>
      </c>
      <c r="AC544">
        <v>210.55660599999999</v>
      </c>
      <c r="AD544">
        <v>1786.4574239999999</v>
      </c>
      <c r="AE544">
        <v>1.786E-3</v>
      </c>
    </row>
    <row r="545" spans="1:31" x14ac:dyDescent="0.25">
      <c r="A545">
        <v>1010490</v>
      </c>
      <c r="B545">
        <v>10696</v>
      </c>
      <c r="C545" t="s">
        <v>34</v>
      </c>
      <c r="D545" t="str">
        <f t="shared" si="27"/>
        <v>WATER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100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25</v>
      </c>
      <c r="Z545" t="str">
        <f t="shared" si="28"/>
        <v>Lake</v>
      </c>
      <c r="AA545">
        <v>43</v>
      </c>
      <c r="AB545">
        <v>1010666.12703</v>
      </c>
      <c r="AC545">
        <v>6.6152810000000004</v>
      </c>
      <c r="AD545">
        <v>0.90218600000000004</v>
      </c>
      <c r="AE545">
        <v>9.9999999999999995E-7</v>
      </c>
    </row>
    <row r="546" spans="1:31" x14ac:dyDescent="0.25">
      <c r="A546">
        <v>1010490</v>
      </c>
      <c r="B546">
        <v>10696</v>
      </c>
      <c r="C546" t="s">
        <v>34</v>
      </c>
      <c r="D546" t="str">
        <f t="shared" si="27"/>
        <v>SBINTEN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100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t="str">
        <f t="shared" si="28"/>
        <v>NotLake</v>
      </c>
      <c r="AA546">
        <v>43</v>
      </c>
      <c r="AB546">
        <v>1010666.12703</v>
      </c>
      <c r="AC546">
        <v>27.061989000000001</v>
      </c>
      <c r="AD546">
        <v>14.49818</v>
      </c>
      <c r="AE546">
        <v>1.4E-5</v>
      </c>
    </row>
    <row r="547" spans="1:31" x14ac:dyDescent="0.25">
      <c r="A547">
        <v>1010490</v>
      </c>
      <c r="B547">
        <v>10696</v>
      </c>
      <c r="C547" t="s">
        <v>34</v>
      </c>
      <c r="D547" t="str">
        <f t="shared" si="27"/>
        <v>WATER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100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25</v>
      </c>
      <c r="Z547" t="str">
        <f t="shared" si="28"/>
        <v>Lake</v>
      </c>
      <c r="AA547">
        <v>43</v>
      </c>
      <c r="AB547">
        <v>1010666.12703</v>
      </c>
      <c r="AC547">
        <v>57.727314</v>
      </c>
      <c r="AD547">
        <v>75.340334999999996</v>
      </c>
      <c r="AE547">
        <v>7.4999999999999993E-5</v>
      </c>
    </row>
    <row r="548" spans="1:31" x14ac:dyDescent="0.25">
      <c r="A548">
        <v>1010490</v>
      </c>
      <c r="B548">
        <v>10696</v>
      </c>
      <c r="C548" t="s">
        <v>34</v>
      </c>
      <c r="D548" t="str">
        <f t="shared" si="27"/>
        <v>SBINTEN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100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 t="str">
        <f t="shared" si="28"/>
        <v>NotLake</v>
      </c>
      <c r="AA548">
        <v>43</v>
      </c>
      <c r="AB548">
        <v>1010666.12703</v>
      </c>
      <c r="AC548">
        <v>55.837651999999999</v>
      </c>
      <c r="AD548">
        <v>52.593783000000002</v>
      </c>
      <c r="AE548">
        <v>5.3000000000000001E-5</v>
      </c>
    </row>
    <row r="549" spans="1:31" x14ac:dyDescent="0.25">
      <c r="A549">
        <v>1010490</v>
      </c>
      <c r="B549">
        <v>10696</v>
      </c>
      <c r="C549" t="s">
        <v>34</v>
      </c>
      <c r="D549" t="str">
        <f t="shared" si="27"/>
        <v>WATER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100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25</v>
      </c>
      <c r="Z549" t="str">
        <f t="shared" si="28"/>
        <v>Lake</v>
      </c>
      <c r="AA549">
        <v>43</v>
      </c>
      <c r="AB549">
        <v>1010666.12703</v>
      </c>
      <c r="AC549">
        <v>140.168654</v>
      </c>
      <c r="AD549">
        <v>561.01433999999995</v>
      </c>
      <c r="AE549">
        <v>5.6099999999999998E-4</v>
      </c>
    </row>
    <row r="550" spans="1:31" x14ac:dyDescent="0.25">
      <c r="A550">
        <v>1010474</v>
      </c>
      <c r="B550">
        <v>10429</v>
      </c>
      <c r="C550" t="s">
        <v>34</v>
      </c>
      <c r="D550" t="str">
        <f t="shared" si="27"/>
        <v>SBINTEN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100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 t="str">
        <f t="shared" si="28"/>
        <v>NotLake</v>
      </c>
      <c r="AA550">
        <v>42</v>
      </c>
      <c r="AB550">
        <v>1544781.51786</v>
      </c>
      <c r="AC550">
        <v>2.1889720000000001</v>
      </c>
      <c r="AD550">
        <v>0.16314899999999999</v>
      </c>
      <c r="AE550">
        <v>0</v>
      </c>
    </row>
    <row r="551" spans="1:31" x14ac:dyDescent="0.25">
      <c r="A551">
        <v>1010474</v>
      </c>
      <c r="B551">
        <v>10429</v>
      </c>
      <c r="C551" t="s">
        <v>34</v>
      </c>
      <c r="D551" t="str">
        <f t="shared" si="27"/>
        <v>WATER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25</v>
      </c>
      <c r="Z551" t="str">
        <f t="shared" si="28"/>
        <v>Lake</v>
      </c>
      <c r="AA551">
        <v>42</v>
      </c>
      <c r="AB551">
        <v>1544781.51786</v>
      </c>
      <c r="AC551">
        <v>150.27768</v>
      </c>
      <c r="AD551">
        <v>352.94495799999999</v>
      </c>
      <c r="AE551">
        <v>3.5300000000000002E-4</v>
      </c>
    </row>
    <row r="552" spans="1:31" x14ac:dyDescent="0.25">
      <c r="A552">
        <v>1010462</v>
      </c>
      <c r="B552">
        <v>10414</v>
      </c>
      <c r="C552" t="s">
        <v>34</v>
      </c>
      <c r="D552" t="str">
        <f t="shared" si="27"/>
        <v>SBINTEN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100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tr">
        <f t="shared" si="28"/>
        <v>NotLake</v>
      </c>
      <c r="AA552">
        <v>41</v>
      </c>
      <c r="AB552">
        <v>1152767.33971</v>
      </c>
      <c r="AC552">
        <v>592.401207</v>
      </c>
      <c r="AD552">
        <v>5267.5240519999998</v>
      </c>
      <c r="AE552">
        <v>5.2680000000000001E-3</v>
      </c>
    </row>
    <row r="553" spans="1:31" x14ac:dyDescent="0.25">
      <c r="A553">
        <v>1010423</v>
      </c>
      <c r="B553">
        <v>10241</v>
      </c>
      <c r="C553" t="s">
        <v>34</v>
      </c>
      <c r="D553" t="str">
        <f t="shared" si="27"/>
        <v>SBINTEN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100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 t="str">
        <f t="shared" si="28"/>
        <v>NotLake</v>
      </c>
      <c r="AA553">
        <v>38</v>
      </c>
      <c r="AB553">
        <v>403724.58460399997</v>
      </c>
      <c r="AC553">
        <v>969.35048200000006</v>
      </c>
      <c r="AD553">
        <v>9785.2956780000004</v>
      </c>
      <c r="AE553">
        <v>9.7850000000000003E-3</v>
      </c>
    </row>
    <row r="554" spans="1:31" x14ac:dyDescent="0.25">
      <c r="A554">
        <v>1010424</v>
      </c>
      <c r="B554">
        <v>10697</v>
      </c>
      <c r="C554" t="s">
        <v>34</v>
      </c>
      <c r="D554" t="str">
        <f t="shared" si="27"/>
        <v>SBINTEN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100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t="str">
        <f t="shared" si="28"/>
        <v>NotLake</v>
      </c>
      <c r="AA554">
        <v>39</v>
      </c>
      <c r="AB554">
        <v>191522.43302999999</v>
      </c>
      <c r="AC554">
        <v>268.45044300000001</v>
      </c>
      <c r="AD554">
        <v>2331.1538730000002</v>
      </c>
      <c r="AE554">
        <v>2.3310000000000002E-3</v>
      </c>
    </row>
    <row r="555" spans="1:31" x14ac:dyDescent="0.25">
      <c r="A555">
        <v>1010490</v>
      </c>
      <c r="B555">
        <v>10696</v>
      </c>
      <c r="C555" t="s">
        <v>34</v>
      </c>
      <c r="D555" t="str">
        <f t="shared" si="27"/>
        <v>SBINTEN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100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t="str">
        <f t="shared" si="28"/>
        <v>NotLake</v>
      </c>
      <c r="AA555">
        <v>43</v>
      </c>
      <c r="AB555">
        <v>1010666.12703</v>
      </c>
      <c r="AC555">
        <v>2214.5899960000002</v>
      </c>
      <c r="AD555">
        <v>19691.290622</v>
      </c>
      <c r="AE555">
        <v>1.9691E-2</v>
      </c>
    </row>
    <row r="556" spans="1:31" x14ac:dyDescent="0.25">
      <c r="A556">
        <v>1010474</v>
      </c>
      <c r="B556">
        <v>10429</v>
      </c>
      <c r="C556" t="s">
        <v>34</v>
      </c>
      <c r="D556" t="str">
        <f t="shared" si="27"/>
        <v>SBINTEN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100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 t="str">
        <f t="shared" si="28"/>
        <v>NotLake</v>
      </c>
      <c r="AA556">
        <v>42</v>
      </c>
      <c r="AB556">
        <v>1544781.51786</v>
      </c>
      <c r="AC556">
        <v>3.3456760000000001</v>
      </c>
      <c r="AD556">
        <v>0.26321699999999998</v>
      </c>
      <c r="AE556">
        <v>0</v>
      </c>
    </row>
    <row r="557" spans="1:31" x14ac:dyDescent="0.25">
      <c r="A557">
        <v>1010474</v>
      </c>
      <c r="B557">
        <v>10429</v>
      </c>
      <c r="C557" t="s">
        <v>34</v>
      </c>
      <c r="D557" t="str">
        <f t="shared" si="27"/>
        <v>WATER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100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25</v>
      </c>
      <c r="Z557" t="str">
        <f t="shared" si="28"/>
        <v>Lake</v>
      </c>
      <c r="AA557">
        <v>42</v>
      </c>
      <c r="AB557">
        <v>1544781.51786</v>
      </c>
      <c r="AC557">
        <v>128.83099200000001</v>
      </c>
      <c r="AD557">
        <v>344.53141099999999</v>
      </c>
      <c r="AE557">
        <v>3.4499999999999998E-4</v>
      </c>
    </row>
    <row r="558" spans="1:31" x14ac:dyDescent="0.25">
      <c r="A558">
        <v>1010422</v>
      </c>
      <c r="B558">
        <v>10701</v>
      </c>
      <c r="C558" t="s">
        <v>34</v>
      </c>
      <c r="D558" t="str">
        <f t="shared" si="27"/>
        <v>SBINTEN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100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 t="str">
        <f t="shared" si="28"/>
        <v>NotLake</v>
      </c>
      <c r="AA558">
        <v>37</v>
      </c>
      <c r="AB558">
        <v>155554.77942400001</v>
      </c>
      <c r="AC558">
        <v>191.17938799999999</v>
      </c>
      <c r="AD558">
        <v>812.14034400000003</v>
      </c>
      <c r="AE558">
        <v>8.12E-4</v>
      </c>
    </row>
    <row r="559" spans="1:31" x14ac:dyDescent="0.25">
      <c r="A559">
        <v>1010371</v>
      </c>
      <c r="B559">
        <v>10698</v>
      </c>
      <c r="C559" t="s">
        <v>34</v>
      </c>
      <c r="D559" t="str">
        <f t="shared" si="27"/>
        <v>WATER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100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25</v>
      </c>
      <c r="Z559" t="str">
        <f t="shared" si="28"/>
        <v>Lake</v>
      </c>
      <c r="AA559">
        <v>32</v>
      </c>
      <c r="AB559">
        <v>66538.247600000002</v>
      </c>
      <c r="AC559">
        <v>71.835203000000007</v>
      </c>
      <c r="AD559">
        <v>133.58779000000001</v>
      </c>
      <c r="AE559">
        <v>1.34E-4</v>
      </c>
    </row>
    <row r="560" spans="1:31" x14ac:dyDescent="0.25">
      <c r="A560">
        <v>1010423</v>
      </c>
      <c r="B560">
        <v>10241</v>
      </c>
      <c r="C560" t="s">
        <v>34</v>
      </c>
      <c r="D560" t="str">
        <f t="shared" si="27"/>
        <v>SBINTEN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100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 t="str">
        <f t="shared" si="28"/>
        <v>NotLake</v>
      </c>
      <c r="AA560">
        <v>38</v>
      </c>
      <c r="AB560">
        <v>403724.58460399997</v>
      </c>
      <c r="AC560">
        <v>131.651487</v>
      </c>
      <c r="AD560">
        <v>312.88787400000001</v>
      </c>
      <c r="AE560">
        <v>3.1300000000000002E-4</v>
      </c>
    </row>
    <row r="561" spans="1:31" x14ac:dyDescent="0.25">
      <c r="A561">
        <v>1010423</v>
      </c>
      <c r="B561">
        <v>10241</v>
      </c>
      <c r="C561" t="s">
        <v>34</v>
      </c>
      <c r="D561" t="str">
        <f t="shared" si="27"/>
        <v>WATER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100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25</v>
      </c>
      <c r="Z561" t="str">
        <f t="shared" si="28"/>
        <v>Lake</v>
      </c>
      <c r="AA561">
        <v>38</v>
      </c>
      <c r="AB561">
        <v>403724.58460399997</v>
      </c>
      <c r="AC561">
        <v>598.29605900000001</v>
      </c>
      <c r="AD561">
        <v>5740.7942929999999</v>
      </c>
      <c r="AE561">
        <v>5.7409999999999996E-3</v>
      </c>
    </row>
    <row r="562" spans="1:31" x14ac:dyDescent="0.25">
      <c r="A562">
        <v>1010424</v>
      </c>
      <c r="B562">
        <v>10697</v>
      </c>
      <c r="C562" t="s">
        <v>34</v>
      </c>
      <c r="D562" t="str">
        <f t="shared" si="27"/>
        <v>SBINTEN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100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 t="str">
        <f t="shared" si="28"/>
        <v>NotLake</v>
      </c>
      <c r="AA562">
        <v>39</v>
      </c>
      <c r="AB562">
        <v>191522.43302999999</v>
      </c>
      <c r="AC562">
        <v>102.380955</v>
      </c>
      <c r="AD562">
        <v>222.34537900000001</v>
      </c>
      <c r="AE562">
        <v>2.22E-4</v>
      </c>
    </row>
    <row r="563" spans="1:31" x14ac:dyDescent="0.25">
      <c r="A563">
        <v>1010424</v>
      </c>
      <c r="B563">
        <v>10697</v>
      </c>
      <c r="C563" t="s">
        <v>34</v>
      </c>
      <c r="D563" t="str">
        <f t="shared" si="27"/>
        <v>WATER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100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25</v>
      </c>
      <c r="Z563" t="str">
        <f t="shared" si="28"/>
        <v>Lake</v>
      </c>
      <c r="AA563">
        <v>39</v>
      </c>
      <c r="AB563">
        <v>191522.43302999999</v>
      </c>
      <c r="AC563">
        <v>935.07552999999996</v>
      </c>
      <c r="AD563">
        <v>6952.7852030000004</v>
      </c>
      <c r="AE563">
        <v>6.953E-3</v>
      </c>
    </row>
    <row r="564" spans="1:31" x14ac:dyDescent="0.25">
      <c r="A564">
        <v>1010359</v>
      </c>
      <c r="B564">
        <v>10700</v>
      </c>
      <c r="C564" t="s">
        <v>34</v>
      </c>
      <c r="D564" t="str">
        <f t="shared" si="27"/>
        <v>SBINTEN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100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t="str">
        <f t="shared" si="28"/>
        <v>NotLake</v>
      </c>
      <c r="AA564">
        <v>28</v>
      </c>
      <c r="AB564">
        <v>311110.45064200001</v>
      </c>
      <c r="AC564">
        <v>716.54372499999999</v>
      </c>
      <c r="AD564">
        <v>8867.8650390000003</v>
      </c>
      <c r="AE564">
        <v>8.8679999999999991E-3</v>
      </c>
    </row>
    <row r="565" spans="1:31" x14ac:dyDescent="0.25">
      <c r="A565">
        <v>1010422</v>
      </c>
      <c r="B565">
        <v>10701</v>
      </c>
      <c r="C565" t="s">
        <v>34</v>
      </c>
      <c r="D565" t="str">
        <f t="shared" si="27"/>
        <v>SBINTEN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100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t="str">
        <f t="shared" si="28"/>
        <v>NotLake</v>
      </c>
      <c r="AA565">
        <v>37</v>
      </c>
      <c r="AB565">
        <v>155554.77942400001</v>
      </c>
      <c r="AC565">
        <v>1259.2598439999999</v>
      </c>
      <c r="AD565">
        <v>60650.496132</v>
      </c>
      <c r="AE565">
        <v>6.0650999999999997E-2</v>
      </c>
    </row>
    <row r="566" spans="1:31" x14ac:dyDescent="0.25">
      <c r="A566">
        <v>1010423</v>
      </c>
      <c r="B566">
        <v>10241</v>
      </c>
      <c r="C566" t="s">
        <v>34</v>
      </c>
      <c r="D566" t="str">
        <f t="shared" si="27"/>
        <v>SBINTEN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100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 t="str">
        <f t="shared" si="28"/>
        <v>NotLake</v>
      </c>
      <c r="AA566">
        <v>38</v>
      </c>
      <c r="AB566">
        <v>403724.58460399997</v>
      </c>
      <c r="AC566">
        <v>2522.5797619999998</v>
      </c>
      <c r="AD566">
        <v>57880.654797000003</v>
      </c>
      <c r="AE566">
        <v>5.7881000000000002E-2</v>
      </c>
    </row>
    <row r="567" spans="1:31" x14ac:dyDescent="0.25">
      <c r="A567">
        <v>1010359</v>
      </c>
      <c r="B567">
        <v>10700</v>
      </c>
      <c r="C567" t="s">
        <v>34</v>
      </c>
      <c r="D567" t="str">
        <f t="shared" si="27"/>
        <v>SBINTEN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t="str">
        <f t="shared" si="28"/>
        <v>NotLake</v>
      </c>
      <c r="AA567">
        <v>28</v>
      </c>
      <c r="AB567">
        <v>311110.45064200001</v>
      </c>
      <c r="AC567">
        <v>103.732846</v>
      </c>
      <c r="AD567">
        <v>282.94033300000001</v>
      </c>
      <c r="AE567">
        <v>2.8299999999999999E-4</v>
      </c>
    </row>
    <row r="568" spans="1:31" x14ac:dyDescent="0.25">
      <c r="A568">
        <v>1010366</v>
      </c>
      <c r="B568">
        <v>10263</v>
      </c>
      <c r="C568" t="s">
        <v>34</v>
      </c>
      <c r="D568" t="str">
        <f t="shared" si="27"/>
        <v>SBINTEN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100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t="str">
        <f t="shared" si="28"/>
        <v>NotLake</v>
      </c>
      <c r="AA568">
        <v>30</v>
      </c>
      <c r="AB568">
        <v>1623010.61307</v>
      </c>
      <c r="AC568">
        <v>2832.1757349999998</v>
      </c>
      <c r="AD568">
        <v>12438.768497999999</v>
      </c>
      <c r="AE568">
        <v>1.2439E-2</v>
      </c>
    </row>
    <row r="569" spans="1:31" x14ac:dyDescent="0.25">
      <c r="A569">
        <v>1010366</v>
      </c>
      <c r="B569">
        <v>10263</v>
      </c>
      <c r="C569" t="s">
        <v>34</v>
      </c>
      <c r="D569" t="str">
        <f t="shared" si="27"/>
        <v>WATER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100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25</v>
      </c>
      <c r="Z569" t="str">
        <f t="shared" si="28"/>
        <v>Lake</v>
      </c>
      <c r="AA569">
        <v>30</v>
      </c>
      <c r="AB569">
        <v>1623010.61307</v>
      </c>
      <c r="AC569">
        <v>281.07572800000003</v>
      </c>
      <c r="AD569">
        <v>816.93040900000005</v>
      </c>
      <c r="AE569">
        <v>8.1700000000000002E-4</v>
      </c>
    </row>
    <row r="570" spans="1:31" x14ac:dyDescent="0.25">
      <c r="A570">
        <v>1010387</v>
      </c>
      <c r="B570">
        <v>10369</v>
      </c>
      <c r="C570" t="s">
        <v>34</v>
      </c>
      <c r="D570" t="str">
        <f t="shared" si="27"/>
        <v>SBINTEN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 t="str">
        <f t="shared" si="28"/>
        <v>NotLake</v>
      </c>
      <c r="AA570">
        <v>33</v>
      </c>
      <c r="AB570">
        <v>284141.21308399999</v>
      </c>
      <c r="AC570">
        <v>233.25588999999999</v>
      </c>
      <c r="AD570">
        <v>2494.9358630000002</v>
      </c>
      <c r="AE570">
        <v>2.4949999999999998E-3</v>
      </c>
    </row>
    <row r="571" spans="1:31" x14ac:dyDescent="0.25">
      <c r="A571">
        <v>1010474</v>
      </c>
      <c r="B571">
        <v>10429</v>
      </c>
      <c r="C571" t="s">
        <v>34</v>
      </c>
      <c r="D571" t="str">
        <f t="shared" si="27"/>
        <v>SBINTEN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t="str">
        <f t="shared" si="28"/>
        <v>NotLake</v>
      </c>
      <c r="AA571">
        <v>42</v>
      </c>
      <c r="AB571">
        <v>1544781.51786</v>
      </c>
      <c r="AC571">
        <v>2322.1980389999999</v>
      </c>
      <c r="AD571">
        <v>19029.364057999999</v>
      </c>
      <c r="AE571">
        <v>1.9029000000000001E-2</v>
      </c>
    </row>
    <row r="572" spans="1:31" x14ac:dyDescent="0.25">
      <c r="A572">
        <v>1010474</v>
      </c>
      <c r="B572">
        <v>10429</v>
      </c>
      <c r="C572" t="s">
        <v>34</v>
      </c>
      <c r="D572" t="str">
        <f t="shared" si="27"/>
        <v>WATER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100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25</v>
      </c>
      <c r="Z572" t="str">
        <f t="shared" si="28"/>
        <v>Lake</v>
      </c>
      <c r="AA572">
        <v>42</v>
      </c>
      <c r="AB572">
        <v>1544781.51786</v>
      </c>
      <c r="AC572">
        <v>189.51660699999999</v>
      </c>
      <c r="AD572">
        <v>1067.433194</v>
      </c>
      <c r="AE572">
        <v>1.067E-3</v>
      </c>
    </row>
    <row r="573" spans="1:31" x14ac:dyDescent="0.25">
      <c r="A573">
        <v>1010548</v>
      </c>
      <c r="B573">
        <v>10318</v>
      </c>
      <c r="C573" t="s">
        <v>34</v>
      </c>
      <c r="D573" t="str">
        <f t="shared" si="27"/>
        <v>SBINTEN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 t="str">
        <f t="shared" si="28"/>
        <v>NotLake</v>
      </c>
      <c r="AA573">
        <v>44</v>
      </c>
      <c r="AB573">
        <v>254468.65062599999</v>
      </c>
      <c r="AC573">
        <v>638.34703400000001</v>
      </c>
      <c r="AD573">
        <v>6885.8543259999997</v>
      </c>
      <c r="AE573">
        <v>6.8859999999999998E-3</v>
      </c>
    </row>
    <row r="574" spans="1:31" x14ac:dyDescent="0.25">
      <c r="A574">
        <v>1010556</v>
      </c>
      <c r="B574">
        <v>10368</v>
      </c>
      <c r="C574" t="s">
        <v>34</v>
      </c>
      <c r="D574" t="str">
        <f t="shared" si="27"/>
        <v>SBINTEN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100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t="str">
        <f t="shared" si="28"/>
        <v>NotLake</v>
      </c>
      <c r="AA574">
        <v>45</v>
      </c>
      <c r="AB574">
        <v>340789.19214499998</v>
      </c>
      <c r="AC574">
        <v>3038.0305410000001</v>
      </c>
      <c r="AD574">
        <v>43370.215800999998</v>
      </c>
      <c r="AE574">
        <v>4.3369999999999999E-2</v>
      </c>
    </row>
    <row r="575" spans="1:31" x14ac:dyDescent="0.25">
      <c r="A575">
        <v>1010660</v>
      </c>
      <c r="B575">
        <v>10449</v>
      </c>
      <c r="C575" t="s">
        <v>34</v>
      </c>
      <c r="D575" t="str">
        <f t="shared" si="27"/>
        <v>SBINTEN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100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 t="str">
        <f t="shared" si="28"/>
        <v>NotLake</v>
      </c>
      <c r="AA575">
        <v>46</v>
      </c>
      <c r="AB575">
        <v>513427.38872300001</v>
      </c>
      <c r="AC575">
        <v>1570.265463</v>
      </c>
      <c r="AD575">
        <v>16489.897240999999</v>
      </c>
      <c r="AE575">
        <v>1.6490000000000001E-2</v>
      </c>
    </row>
    <row r="576" spans="1:31" x14ac:dyDescent="0.25">
      <c r="A576">
        <v>1010366</v>
      </c>
      <c r="B576">
        <v>10263</v>
      </c>
      <c r="C576" t="s">
        <v>34</v>
      </c>
      <c r="D576" t="str">
        <f t="shared" si="27"/>
        <v>SBINTEN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 t="str">
        <f t="shared" si="28"/>
        <v>NotLake</v>
      </c>
      <c r="AA576">
        <v>30</v>
      </c>
      <c r="AB576">
        <v>1623010.61307</v>
      </c>
      <c r="AC576">
        <v>103.652801</v>
      </c>
      <c r="AD576">
        <v>191.316303</v>
      </c>
      <c r="AE576">
        <v>1.9100000000000001E-4</v>
      </c>
    </row>
    <row r="577" spans="1:31" x14ac:dyDescent="0.25">
      <c r="A577">
        <v>1010366</v>
      </c>
      <c r="B577">
        <v>10263</v>
      </c>
      <c r="C577" t="s">
        <v>34</v>
      </c>
      <c r="D577" t="str">
        <f t="shared" si="27"/>
        <v>WATER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100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25</v>
      </c>
      <c r="Z577" t="str">
        <f t="shared" si="28"/>
        <v>Lake</v>
      </c>
      <c r="AA577">
        <v>30</v>
      </c>
      <c r="AB577">
        <v>1623010.61307</v>
      </c>
      <c r="AC577">
        <v>244.168182</v>
      </c>
      <c r="AD577">
        <v>1662.2003629999999</v>
      </c>
      <c r="AE577">
        <v>1.6620000000000001E-3</v>
      </c>
    </row>
    <row r="578" spans="1:31" x14ac:dyDescent="0.25">
      <c r="A578">
        <v>1010366</v>
      </c>
      <c r="B578">
        <v>10263</v>
      </c>
      <c r="C578" t="s">
        <v>34</v>
      </c>
      <c r="D578" t="str">
        <f t="shared" si="27"/>
        <v>SBINTEN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 t="str">
        <f t="shared" si="28"/>
        <v>NotLake</v>
      </c>
      <c r="AA578">
        <v>30</v>
      </c>
      <c r="AB578">
        <v>1623010.61307</v>
      </c>
      <c r="AC578">
        <v>78.434329000000005</v>
      </c>
      <c r="AD578">
        <v>69.753926000000007</v>
      </c>
      <c r="AE578">
        <v>6.9999999999999994E-5</v>
      </c>
    </row>
    <row r="579" spans="1:31" x14ac:dyDescent="0.25">
      <c r="A579">
        <v>1010366</v>
      </c>
      <c r="B579">
        <v>10263</v>
      </c>
      <c r="C579" t="s">
        <v>34</v>
      </c>
      <c r="D579" t="str">
        <f t="shared" ref="D579:D642" si="29">IF(Y579=0,C579,"WATER")</f>
        <v>WATER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25</v>
      </c>
      <c r="Z579" t="str">
        <f t="shared" ref="Z579:Z642" si="30">IF(Y579=0,"NotLake","Lake")</f>
        <v>Lake</v>
      </c>
      <c r="AA579">
        <v>30</v>
      </c>
      <c r="AB579">
        <v>1623010.61307</v>
      </c>
      <c r="AC579">
        <v>231.157398</v>
      </c>
      <c r="AD579">
        <v>554.45595100000003</v>
      </c>
      <c r="AE579">
        <v>5.5400000000000002E-4</v>
      </c>
    </row>
    <row r="580" spans="1:31" x14ac:dyDescent="0.25">
      <c r="A580">
        <v>1010366</v>
      </c>
      <c r="B580">
        <v>10263</v>
      </c>
      <c r="C580" t="s">
        <v>34</v>
      </c>
      <c r="D580" t="str">
        <f t="shared" si="29"/>
        <v>SBINTEN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tr">
        <f t="shared" si="30"/>
        <v>NotLake</v>
      </c>
      <c r="AA580">
        <v>30</v>
      </c>
      <c r="AB580">
        <v>1623010.61307</v>
      </c>
      <c r="AC580">
        <v>63.11354</v>
      </c>
      <c r="AD580">
        <v>89.216841000000002</v>
      </c>
      <c r="AE580">
        <v>8.8999999999999995E-5</v>
      </c>
    </row>
    <row r="581" spans="1:31" x14ac:dyDescent="0.25">
      <c r="A581">
        <v>1010366</v>
      </c>
      <c r="B581">
        <v>10263</v>
      </c>
      <c r="C581" t="s">
        <v>34</v>
      </c>
      <c r="D581" t="str">
        <f t="shared" si="29"/>
        <v>WATER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25</v>
      </c>
      <c r="Z581" t="str">
        <f t="shared" si="30"/>
        <v>Lake</v>
      </c>
      <c r="AA581">
        <v>30</v>
      </c>
      <c r="AB581">
        <v>1623010.61307</v>
      </c>
      <c r="AC581">
        <v>39.005051000000002</v>
      </c>
      <c r="AD581">
        <v>45.674069000000003</v>
      </c>
      <c r="AE581">
        <v>4.6E-5</v>
      </c>
    </row>
    <row r="582" spans="1:31" x14ac:dyDescent="0.25">
      <c r="A582">
        <v>1010219</v>
      </c>
      <c r="B582">
        <v>10417</v>
      </c>
      <c r="C582" t="s">
        <v>34</v>
      </c>
      <c r="D582" t="str">
        <f t="shared" si="29"/>
        <v>SBINTEN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t="str">
        <f t="shared" si="30"/>
        <v>NotLake</v>
      </c>
      <c r="AA582">
        <v>18</v>
      </c>
      <c r="AB582">
        <v>1828937.2124999999</v>
      </c>
      <c r="AC582">
        <v>1138.989002</v>
      </c>
      <c r="AD582">
        <v>43988.229994000001</v>
      </c>
      <c r="AE582">
        <v>4.3987999999999999E-2</v>
      </c>
    </row>
    <row r="583" spans="1:31" x14ac:dyDescent="0.25">
      <c r="A583">
        <v>1010288</v>
      </c>
      <c r="B583">
        <v>10178</v>
      </c>
      <c r="C583" t="s">
        <v>34</v>
      </c>
      <c r="D583" t="str">
        <f t="shared" si="29"/>
        <v>SBINTEN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tr">
        <f t="shared" si="30"/>
        <v>NotLake</v>
      </c>
      <c r="AA583">
        <v>20</v>
      </c>
      <c r="AB583">
        <v>1401826.08345</v>
      </c>
      <c r="AC583">
        <v>359.23155400000002</v>
      </c>
      <c r="AD583">
        <v>3537.8079779999998</v>
      </c>
      <c r="AE583">
        <v>3.5379999999999999E-3</v>
      </c>
    </row>
    <row r="584" spans="1:31" x14ac:dyDescent="0.25">
      <c r="A584">
        <v>1009840</v>
      </c>
      <c r="B584">
        <v>10134</v>
      </c>
      <c r="C584" t="s">
        <v>34</v>
      </c>
      <c r="D584" t="str">
        <f t="shared" si="29"/>
        <v>SBINTEN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 t="str">
        <f t="shared" si="30"/>
        <v>NotLake</v>
      </c>
      <c r="AA584">
        <v>10</v>
      </c>
      <c r="AB584">
        <v>2209249.6887300001</v>
      </c>
      <c r="AC584">
        <v>3269.8684450000001</v>
      </c>
      <c r="AD584">
        <v>54964.612193000001</v>
      </c>
      <c r="AE584">
        <v>5.4965E-2</v>
      </c>
    </row>
    <row r="585" spans="1:31" x14ac:dyDescent="0.25">
      <c r="A585">
        <v>1009840</v>
      </c>
      <c r="B585">
        <v>10134</v>
      </c>
      <c r="C585" t="s">
        <v>34</v>
      </c>
      <c r="D585" t="str">
        <f t="shared" si="29"/>
        <v>WATER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25</v>
      </c>
      <c r="Z585" t="str">
        <f t="shared" si="30"/>
        <v>Lake</v>
      </c>
      <c r="AA585">
        <v>10</v>
      </c>
      <c r="AB585">
        <v>2209249.6887300001</v>
      </c>
      <c r="AC585">
        <v>214.60898399999999</v>
      </c>
      <c r="AD585">
        <v>858.251397</v>
      </c>
      <c r="AE585">
        <v>8.5800000000000004E-4</v>
      </c>
    </row>
    <row r="586" spans="1:31" x14ac:dyDescent="0.25">
      <c r="A586">
        <v>1010359</v>
      </c>
      <c r="B586">
        <v>10700</v>
      </c>
      <c r="C586" t="s">
        <v>34</v>
      </c>
      <c r="D586" t="str">
        <f t="shared" si="29"/>
        <v>SBINTEN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t="str">
        <f t="shared" si="30"/>
        <v>NotLake</v>
      </c>
      <c r="AA586">
        <v>28</v>
      </c>
      <c r="AB586">
        <v>311110.45064200001</v>
      </c>
      <c r="AC586">
        <v>536.17417799999998</v>
      </c>
      <c r="AD586">
        <v>9341.0514669999993</v>
      </c>
      <c r="AE586">
        <v>9.3410000000000003E-3</v>
      </c>
    </row>
    <row r="587" spans="1:31" x14ac:dyDescent="0.25">
      <c r="A587">
        <v>1010139</v>
      </c>
      <c r="B587">
        <v>9961</v>
      </c>
      <c r="C587" t="s">
        <v>34</v>
      </c>
      <c r="D587" t="str">
        <f t="shared" si="29"/>
        <v>SBINTEN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t="str">
        <f t="shared" si="30"/>
        <v>NotLake</v>
      </c>
      <c r="AA587">
        <v>15</v>
      </c>
      <c r="AB587">
        <v>1662601.4959199999</v>
      </c>
      <c r="AC587">
        <v>530.32077800000002</v>
      </c>
      <c r="AD587">
        <v>4780.0186919999996</v>
      </c>
      <c r="AE587">
        <v>4.7800000000000004E-3</v>
      </c>
    </row>
    <row r="588" spans="1:31" x14ac:dyDescent="0.25">
      <c r="A588">
        <v>1010139</v>
      </c>
      <c r="B588">
        <v>9961</v>
      </c>
      <c r="C588" t="s">
        <v>34</v>
      </c>
      <c r="D588" t="str">
        <f t="shared" si="29"/>
        <v>WATER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25</v>
      </c>
      <c r="Z588" t="str">
        <f t="shared" si="30"/>
        <v>Lake</v>
      </c>
      <c r="AA588">
        <v>15</v>
      </c>
      <c r="AB588">
        <v>1662601.4959199999</v>
      </c>
      <c r="AC588">
        <v>200.189009</v>
      </c>
      <c r="AD588">
        <v>230.382091</v>
      </c>
      <c r="AE588">
        <v>2.3000000000000001E-4</v>
      </c>
    </row>
    <row r="589" spans="1:31" x14ac:dyDescent="0.25">
      <c r="A589">
        <v>1010139</v>
      </c>
      <c r="B589">
        <v>9961</v>
      </c>
      <c r="C589" t="s">
        <v>34</v>
      </c>
      <c r="D589" t="str">
        <f t="shared" si="29"/>
        <v>SBINTEN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100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t="str">
        <f t="shared" si="30"/>
        <v>NotLake</v>
      </c>
      <c r="AA589">
        <v>15</v>
      </c>
      <c r="AB589">
        <v>1662601.4959199999</v>
      </c>
      <c r="AC589">
        <v>69.916666000000006</v>
      </c>
      <c r="AD589">
        <v>18.725711</v>
      </c>
      <c r="AE589">
        <v>1.9000000000000001E-5</v>
      </c>
    </row>
    <row r="590" spans="1:31" x14ac:dyDescent="0.25">
      <c r="A590">
        <v>1010139</v>
      </c>
      <c r="B590">
        <v>9961</v>
      </c>
      <c r="C590" t="s">
        <v>34</v>
      </c>
      <c r="D590" t="str">
        <f t="shared" si="29"/>
        <v>WATER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100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25</v>
      </c>
      <c r="Z590" t="str">
        <f t="shared" si="30"/>
        <v>Lake</v>
      </c>
      <c r="AA590">
        <v>15</v>
      </c>
      <c r="AB590">
        <v>1662601.4959199999</v>
      </c>
      <c r="AC590">
        <v>309.18476500000003</v>
      </c>
      <c r="AD590">
        <v>2160.1086479999999</v>
      </c>
      <c r="AE590">
        <v>2.16E-3</v>
      </c>
    </row>
    <row r="591" spans="1:31" x14ac:dyDescent="0.25">
      <c r="A591">
        <v>1010139</v>
      </c>
      <c r="B591">
        <v>9961</v>
      </c>
      <c r="C591" t="s">
        <v>34</v>
      </c>
      <c r="D591" t="str">
        <f t="shared" si="29"/>
        <v>SBINTEN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100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 t="str">
        <f t="shared" si="30"/>
        <v>NotLake</v>
      </c>
      <c r="AA591">
        <v>15</v>
      </c>
      <c r="AB591">
        <v>1662601.4959199999</v>
      </c>
      <c r="AC591">
        <v>147.29959199999999</v>
      </c>
      <c r="AD591">
        <v>435.366468</v>
      </c>
      <c r="AE591">
        <v>4.35E-4</v>
      </c>
    </row>
    <row r="592" spans="1:31" x14ac:dyDescent="0.25">
      <c r="A592">
        <v>1010106</v>
      </c>
      <c r="B592">
        <v>9923</v>
      </c>
      <c r="C592" t="s">
        <v>34</v>
      </c>
      <c r="D592" t="str">
        <f t="shared" si="29"/>
        <v>SBINTEN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 t="str">
        <f t="shared" si="30"/>
        <v>NotLake</v>
      </c>
      <c r="AA592">
        <v>12</v>
      </c>
      <c r="AB592">
        <v>337197.66935500002</v>
      </c>
      <c r="AC592">
        <v>455.36801500000001</v>
      </c>
      <c r="AD592">
        <v>7409.6513450000002</v>
      </c>
      <c r="AE592">
        <v>7.4099999999999999E-3</v>
      </c>
    </row>
    <row r="593" spans="1:31" x14ac:dyDescent="0.25">
      <c r="A593">
        <v>1009840</v>
      </c>
      <c r="B593">
        <v>10134</v>
      </c>
      <c r="C593" t="s">
        <v>34</v>
      </c>
      <c r="D593" t="str">
        <f t="shared" si="29"/>
        <v>SBINTEN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 t="str">
        <f t="shared" si="30"/>
        <v>NotLake</v>
      </c>
      <c r="AA593">
        <v>10</v>
      </c>
      <c r="AB593">
        <v>2209249.6887300001</v>
      </c>
      <c r="AC593">
        <v>50.960307</v>
      </c>
      <c r="AD593">
        <v>13.953010000000001</v>
      </c>
      <c r="AE593">
        <v>1.4E-5</v>
      </c>
    </row>
    <row r="594" spans="1:31" x14ac:dyDescent="0.25">
      <c r="A594">
        <v>1009840</v>
      </c>
      <c r="B594">
        <v>10134</v>
      </c>
      <c r="C594" t="s">
        <v>34</v>
      </c>
      <c r="D594" t="str">
        <f t="shared" si="29"/>
        <v>WATER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100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25</v>
      </c>
      <c r="Z594" t="str">
        <f t="shared" si="30"/>
        <v>Lake</v>
      </c>
      <c r="AA594">
        <v>10</v>
      </c>
      <c r="AB594">
        <v>2209249.6887300001</v>
      </c>
      <c r="AC594">
        <v>496.90874300000002</v>
      </c>
      <c r="AD594">
        <v>2910.0689560000001</v>
      </c>
      <c r="AE594">
        <v>2.9099999999999998E-3</v>
      </c>
    </row>
    <row r="595" spans="1:31" x14ac:dyDescent="0.25">
      <c r="A595">
        <v>1009840</v>
      </c>
      <c r="B595">
        <v>10134</v>
      </c>
      <c r="C595" t="s">
        <v>34</v>
      </c>
      <c r="D595" t="str">
        <f t="shared" si="29"/>
        <v>WATER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100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25</v>
      </c>
      <c r="Z595" t="str">
        <f t="shared" si="30"/>
        <v>Lake</v>
      </c>
      <c r="AA595">
        <v>10</v>
      </c>
      <c r="AB595">
        <v>2209249.6887300001</v>
      </c>
      <c r="AC595">
        <v>75.922821999999996</v>
      </c>
      <c r="AD595">
        <v>13.128856000000001</v>
      </c>
      <c r="AE595">
        <v>1.2999999999999999E-5</v>
      </c>
    </row>
    <row r="596" spans="1:31" x14ac:dyDescent="0.25">
      <c r="A596">
        <v>1009840</v>
      </c>
      <c r="B596">
        <v>10134</v>
      </c>
      <c r="C596" t="s">
        <v>34</v>
      </c>
      <c r="D596" t="str">
        <f t="shared" si="29"/>
        <v>WATER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25</v>
      </c>
      <c r="Z596" t="str">
        <f t="shared" si="30"/>
        <v>Lake</v>
      </c>
      <c r="AA596">
        <v>10</v>
      </c>
      <c r="AB596">
        <v>2209249.6887300001</v>
      </c>
      <c r="AC596">
        <v>215.53774300000001</v>
      </c>
      <c r="AD596">
        <v>817.46072900000001</v>
      </c>
      <c r="AE596">
        <v>8.1700000000000002E-4</v>
      </c>
    </row>
    <row r="597" spans="1:31" x14ac:dyDescent="0.25">
      <c r="A597">
        <v>1010139</v>
      </c>
      <c r="B597">
        <v>9961</v>
      </c>
      <c r="C597" t="s">
        <v>34</v>
      </c>
      <c r="D597" t="str">
        <f t="shared" si="29"/>
        <v>SBINTEN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 t="str">
        <f t="shared" si="30"/>
        <v>NotLake</v>
      </c>
      <c r="AA597">
        <v>15</v>
      </c>
      <c r="AB597">
        <v>1662601.4959199999</v>
      </c>
      <c r="AC597">
        <v>45.783259000000001</v>
      </c>
      <c r="AD597">
        <v>112.400173</v>
      </c>
      <c r="AE597">
        <v>1.12E-4</v>
      </c>
    </row>
    <row r="598" spans="1:31" x14ac:dyDescent="0.25">
      <c r="A598">
        <v>1009808</v>
      </c>
      <c r="B598">
        <v>9675</v>
      </c>
      <c r="C598" t="s">
        <v>34</v>
      </c>
      <c r="D598" t="str">
        <f t="shared" si="29"/>
        <v>SBINTEN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 t="str">
        <f t="shared" si="30"/>
        <v>NotLake</v>
      </c>
      <c r="AA598">
        <v>8</v>
      </c>
      <c r="AB598">
        <v>325505.16677000001</v>
      </c>
      <c r="AC598">
        <v>42.166846999999997</v>
      </c>
      <c r="AD598">
        <v>32.498533000000002</v>
      </c>
      <c r="AE598">
        <v>3.1999999999999999E-5</v>
      </c>
    </row>
    <row r="599" spans="1:31" x14ac:dyDescent="0.25">
      <c r="A599">
        <v>1009808</v>
      </c>
      <c r="B599">
        <v>9675</v>
      </c>
      <c r="C599" t="s">
        <v>34</v>
      </c>
      <c r="D599" t="str">
        <f t="shared" si="29"/>
        <v>WATER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100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25</v>
      </c>
      <c r="Z599" t="str">
        <f t="shared" si="30"/>
        <v>Lake</v>
      </c>
      <c r="AA599">
        <v>8</v>
      </c>
      <c r="AB599">
        <v>325505.16677000001</v>
      </c>
      <c r="AC599">
        <v>56.662717999999998</v>
      </c>
      <c r="AD599">
        <v>106.67015000000001</v>
      </c>
      <c r="AE599">
        <v>1.07E-4</v>
      </c>
    </row>
    <row r="600" spans="1:31" x14ac:dyDescent="0.25">
      <c r="A600">
        <v>1010121</v>
      </c>
      <c r="B600">
        <v>9962</v>
      </c>
      <c r="C600" t="s">
        <v>34</v>
      </c>
      <c r="D600" t="str">
        <f t="shared" si="29"/>
        <v>WATER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25</v>
      </c>
      <c r="Z600" t="str">
        <f t="shared" si="30"/>
        <v>Lake</v>
      </c>
      <c r="AA600">
        <v>14</v>
      </c>
      <c r="AB600">
        <v>1941333.5943100001</v>
      </c>
      <c r="AC600">
        <v>15.102492</v>
      </c>
      <c r="AD600">
        <v>5.103059</v>
      </c>
      <c r="AE600">
        <v>5.0000000000000004E-6</v>
      </c>
    </row>
    <row r="601" spans="1:31" x14ac:dyDescent="0.25">
      <c r="A601">
        <v>1009840</v>
      </c>
      <c r="B601">
        <v>10134</v>
      </c>
      <c r="C601" t="s">
        <v>34</v>
      </c>
      <c r="D601" t="str">
        <f t="shared" si="29"/>
        <v>WATER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100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25</v>
      </c>
      <c r="Z601" t="str">
        <f t="shared" si="30"/>
        <v>Lake</v>
      </c>
      <c r="AA601">
        <v>10</v>
      </c>
      <c r="AB601">
        <v>2209249.6887300001</v>
      </c>
      <c r="AC601">
        <v>105.409567</v>
      </c>
      <c r="AD601">
        <v>211.224794</v>
      </c>
      <c r="AE601">
        <v>2.1100000000000001E-4</v>
      </c>
    </row>
    <row r="602" spans="1:31" x14ac:dyDescent="0.25">
      <c r="A602">
        <v>1009808</v>
      </c>
      <c r="B602">
        <v>9675</v>
      </c>
      <c r="C602" t="s">
        <v>34</v>
      </c>
      <c r="D602" t="str">
        <f t="shared" si="29"/>
        <v>WATER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100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25</v>
      </c>
      <c r="Z602" t="str">
        <f t="shared" si="30"/>
        <v>Lake</v>
      </c>
      <c r="AA602">
        <v>8</v>
      </c>
      <c r="AB602">
        <v>325505.16677000001</v>
      </c>
      <c r="AC602">
        <v>247.975967</v>
      </c>
      <c r="AD602">
        <v>297.44851499999999</v>
      </c>
      <c r="AE602">
        <v>2.9700000000000001E-4</v>
      </c>
    </row>
    <row r="603" spans="1:31" x14ac:dyDescent="0.25">
      <c r="A603">
        <v>1009808</v>
      </c>
      <c r="B603">
        <v>9675</v>
      </c>
      <c r="C603" t="s">
        <v>34</v>
      </c>
      <c r="D603" t="str">
        <f t="shared" si="29"/>
        <v>WATER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25</v>
      </c>
      <c r="Z603" t="str">
        <f t="shared" si="30"/>
        <v>Lake</v>
      </c>
      <c r="AA603">
        <v>8</v>
      </c>
      <c r="AB603">
        <v>325505.16677000001</v>
      </c>
      <c r="AC603">
        <v>10.521039</v>
      </c>
      <c r="AD603">
        <v>5.0664040000000004</v>
      </c>
      <c r="AE603">
        <v>5.0000000000000004E-6</v>
      </c>
    </row>
    <row r="604" spans="1:31" x14ac:dyDescent="0.25">
      <c r="A604">
        <v>1010121</v>
      </c>
      <c r="B604">
        <v>9962</v>
      </c>
      <c r="C604" t="s">
        <v>34</v>
      </c>
      <c r="D604" t="str">
        <f t="shared" si="29"/>
        <v>WATER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25</v>
      </c>
      <c r="Z604" t="str">
        <f t="shared" si="30"/>
        <v>Lake</v>
      </c>
      <c r="AA604">
        <v>14</v>
      </c>
      <c r="AB604">
        <v>1941333.5943100001</v>
      </c>
      <c r="AC604">
        <v>64.582003</v>
      </c>
      <c r="AD604">
        <v>186.42594500000001</v>
      </c>
      <c r="AE604">
        <v>1.8599999999999999E-4</v>
      </c>
    </row>
    <row r="605" spans="1:31" x14ac:dyDescent="0.25">
      <c r="A605">
        <v>1010106</v>
      </c>
      <c r="B605">
        <v>9923</v>
      </c>
      <c r="C605" t="s">
        <v>34</v>
      </c>
      <c r="D605" t="str">
        <f t="shared" si="29"/>
        <v>SBINTEN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100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 t="str">
        <f t="shared" si="30"/>
        <v>NotLake</v>
      </c>
      <c r="AA605">
        <v>12</v>
      </c>
      <c r="AB605">
        <v>337197.66935500002</v>
      </c>
      <c r="AC605">
        <v>260.73923400000001</v>
      </c>
      <c r="AD605">
        <v>3288.2432079999999</v>
      </c>
      <c r="AE605">
        <v>3.2880000000000001E-3</v>
      </c>
    </row>
    <row r="606" spans="1:31" x14ac:dyDescent="0.25">
      <c r="A606">
        <v>1009698</v>
      </c>
      <c r="B606">
        <v>9480</v>
      </c>
      <c r="C606" t="s">
        <v>34</v>
      </c>
      <c r="D606" t="str">
        <f t="shared" si="29"/>
        <v>WATER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100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25</v>
      </c>
      <c r="Z606" t="str">
        <f t="shared" si="30"/>
        <v>Lake</v>
      </c>
      <c r="AA606">
        <v>2</v>
      </c>
      <c r="AB606">
        <v>2613890.82766</v>
      </c>
      <c r="AC606">
        <v>80.888208000000006</v>
      </c>
      <c r="AD606">
        <v>64.532421999999997</v>
      </c>
      <c r="AE606">
        <v>6.4999999999999994E-5</v>
      </c>
    </row>
    <row r="607" spans="1:31" x14ac:dyDescent="0.25">
      <c r="A607">
        <v>1009840</v>
      </c>
      <c r="B607">
        <v>10134</v>
      </c>
      <c r="C607" t="s">
        <v>34</v>
      </c>
      <c r="D607" t="str">
        <f t="shared" si="29"/>
        <v>SBINTEN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100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 t="str">
        <f t="shared" si="30"/>
        <v>NotLake</v>
      </c>
      <c r="AA607">
        <v>10</v>
      </c>
      <c r="AB607">
        <v>2209249.6887300001</v>
      </c>
      <c r="AC607">
        <v>6400.2585209999997</v>
      </c>
      <c r="AD607">
        <v>114868.251752</v>
      </c>
      <c r="AE607">
        <v>0.114868</v>
      </c>
    </row>
    <row r="608" spans="1:31" x14ac:dyDescent="0.25">
      <c r="A608">
        <v>1010344</v>
      </c>
      <c r="B608">
        <v>10142</v>
      </c>
      <c r="C608" t="s">
        <v>34</v>
      </c>
      <c r="D608" t="str">
        <f t="shared" si="29"/>
        <v>SBINTEN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100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 t="str">
        <f t="shared" si="30"/>
        <v>NotLake</v>
      </c>
      <c r="AA608">
        <v>26</v>
      </c>
      <c r="AB608">
        <v>583577.16153899999</v>
      </c>
      <c r="AC608">
        <v>416.92047200000002</v>
      </c>
      <c r="AD608">
        <v>1669.6889940000001</v>
      </c>
      <c r="AE608">
        <v>1.67E-3</v>
      </c>
    </row>
    <row r="609" spans="1:31" x14ac:dyDescent="0.25">
      <c r="A609">
        <v>1010462</v>
      </c>
      <c r="B609">
        <v>10414</v>
      </c>
      <c r="C609" t="s">
        <v>34</v>
      </c>
      <c r="D609" t="str">
        <f t="shared" si="29"/>
        <v>SBINTEN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100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 t="str">
        <f t="shared" si="30"/>
        <v>NotLake</v>
      </c>
      <c r="AA609">
        <v>41</v>
      </c>
      <c r="AB609">
        <v>1152767.33971</v>
      </c>
      <c r="AC609">
        <v>500.30774100000002</v>
      </c>
      <c r="AD609">
        <v>4655.9131209999996</v>
      </c>
      <c r="AE609">
        <v>4.6560000000000004E-3</v>
      </c>
    </row>
    <row r="610" spans="1:31" x14ac:dyDescent="0.25">
      <c r="A610">
        <v>1009710</v>
      </c>
      <c r="B610">
        <v>9610</v>
      </c>
      <c r="C610" t="s">
        <v>34</v>
      </c>
      <c r="D610" t="str">
        <f t="shared" si="29"/>
        <v>SBINTEN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100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 t="str">
        <f t="shared" si="30"/>
        <v>NotLake</v>
      </c>
      <c r="AA610">
        <v>4</v>
      </c>
      <c r="AB610">
        <v>624933.80375199998</v>
      </c>
      <c r="AC610">
        <v>894.23932000000002</v>
      </c>
      <c r="AD610">
        <v>8020.2056549999998</v>
      </c>
      <c r="AE610">
        <v>8.0199999999999994E-3</v>
      </c>
    </row>
    <row r="611" spans="1:31" x14ac:dyDescent="0.25">
      <c r="A611">
        <v>1009808</v>
      </c>
      <c r="B611">
        <v>9675</v>
      </c>
      <c r="C611" t="s">
        <v>34</v>
      </c>
      <c r="D611" t="str">
        <f t="shared" si="29"/>
        <v>SBINTEN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 t="str">
        <f t="shared" si="30"/>
        <v>NotLake</v>
      </c>
      <c r="AA611">
        <v>8</v>
      </c>
      <c r="AB611">
        <v>325505.16677000001</v>
      </c>
      <c r="AC611">
        <v>544.02298900000005</v>
      </c>
      <c r="AD611">
        <v>15916.450954</v>
      </c>
      <c r="AE611">
        <v>1.5916E-2</v>
      </c>
    </row>
    <row r="612" spans="1:31" x14ac:dyDescent="0.25">
      <c r="A612">
        <v>1009885</v>
      </c>
      <c r="B612">
        <v>9905</v>
      </c>
      <c r="C612" t="s">
        <v>34</v>
      </c>
      <c r="D612" t="str">
        <f t="shared" si="29"/>
        <v>SBINTEN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100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 t="str">
        <f t="shared" si="30"/>
        <v>NotLake</v>
      </c>
      <c r="AA612">
        <v>11</v>
      </c>
      <c r="AB612">
        <v>303926.051056</v>
      </c>
      <c r="AC612">
        <v>2742.1167989999999</v>
      </c>
      <c r="AD612">
        <v>148429.41224000001</v>
      </c>
      <c r="AE612">
        <v>0.14842900000000001</v>
      </c>
    </row>
    <row r="613" spans="1:31" x14ac:dyDescent="0.25">
      <c r="A613">
        <v>1009885</v>
      </c>
      <c r="B613">
        <v>9905</v>
      </c>
      <c r="C613" t="s">
        <v>34</v>
      </c>
      <c r="D613" t="str">
        <f t="shared" si="29"/>
        <v>WATER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25</v>
      </c>
      <c r="Z613" t="str">
        <f t="shared" si="30"/>
        <v>Lake</v>
      </c>
      <c r="AA613">
        <v>11</v>
      </c>
      <c r="AB613">
        <v>303926.051056</v>
      </c>
      <c r="AC613">
        <v>150.184855</v>
      </c>
      <c r="AD613">
        <v>399.06105000000002</v>
      </c>
      <c r="AE613">
        <v>3.9899999999999999E-4</v>
      </c>
    </row>
    <row r="614" spans="1:31" x14ac:dyDescent="0.25">
      <c r="A614">
        <v>1010121</v>
      </c>
      <c r="B614">
        <v>9962</v>
      </c>
      <c r="C614" t="s">
        <v>34</v>
      </c>
      <c r="D614" t="str">
        <f t="shared" si="29"/>
        <v>SBINTEN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 t="str">
        <f t="shared" si="30"/>
        <v>NotLake</v>
      </c>
      <c r="AA614">
        <v>14</v>
      </c>
      <c r="AB614">
        <v>1941333.5943100001</v>
      </c>
      <c r="AC614">
        <v>662.50166999999999</v>
      </c>
      <c r="AD614">
        <v>7508.7366629999997</v>
      </c>
      <c r="AE614">
        <v>7.509E-3</v>
      </c>
    </row>
    <row r="615" spans="1:31" x14ac:dyDescent="0.25">
      <c r="A615">
        <v>1010139</v>
      </c>
      <c r="B615">
        <v>9961</v>
      </c>
      <c r="C615" t="s">
        <v>34</v>
      </c>
      <c r="D615" t="str">
        <f t="shared" si="29"/>
        <v>SBINTEN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100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t="str">
        <f t="shared" si="30"/>
        <v>NotLake</v>
      </c>
      <c r="AA615">
        <v>15</v>
      </c>
      <c r="AB615">
        <v>1662601.4959199999</v>
      </c>
      <c r="AC615">
        <v>2981.381566</v>
      </c>
      <c r="AD615">
        <v>169565.378658</v>
      </c>
      <c r="AE615">
        <v>0.16956499999999999</v>
      </c>
    </row>
    <row r="616" spans="1:31" x14ac:dyDescent="0.25">
      <c r="A616">
        <v>1010139</v>
      </c>
      <c r="B616">
        <v>9961</v>
      </c>
      <c r="C616" t="s">
        <v>34</v>
      </c>
      <c r="D616" t="str">
        <f t="shared" si="29"/>
        <v>WATER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100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25</v>
      </c>
      <c r="Z616" t="str">
        <f t="shared" si="30"/>
        <v>Lake</v>
      </c>
      <c r="AA616">
        <v>15</v>
      </c>
      <c r="AB616">
        <v>1662601.4959199999</v>
      </c>
      <c r="AC616">
        <v>374.11725100000001</v>
      </c>
      <c r="AD616">
        <v>1041.5801730000001</v>
      </c>
      <c r="AE616">
        <v>1.042E-3</v>
      </c>
    </row>
    <row r="617" spans="1:31" x14ac:dyDescent="0.25">
      <c r="A617">
        <v>1009647</v>
      </c>
      <c r="B617">
        <v>9454</v>
      </c>
      <c r="C617" t="s">
        <v>34</v>
      </c>
      <c r="D617" t="str">
        <f t="shared" si="29"/>
        <v>SBINTEN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100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t="str">
        <f t="shared" si="30"/>
        <v>NotLake</v>
      </c>
      <c r="AA617">
        <v>0</v>
      </c>
      <c r="AB617">
        <v>417217.74838200002</v>
      </c>
      <c r="AC617">
        <v>150.66879900000001</v>
      </c>
      <c r="AD617">
        <v>886.66968399999996</v>
      </c>
      <c r="AE617">
        <v>8.8699999999999998E-4</v>
      </c>
    </row>
    <row r="618" spans="1:31" x14ac:dyDescent="0.25">
      <c r="A618">
        <v>1009647</v>
      </c>
      <c r="B618">
        <v>9454</v>
      </c>
      <c r="C618" t="s">
        <v>34</v>
      </c>
      <c r="D618" t="str">
        <f t="shared" si="29"/>
        <v>SBINTEN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100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 t="str">
        <f t="shared" si="30"/>
        <v>NotLake</v>
      </c>
      <c r="AA618">
        <v>0</v>
      </c>
      <c r="AB618">
        <v>417217.74838200002</v>
      </c>
      <c r="AC618">
        <v>1646.5333129999999</v>
      </c>
      <c r="AD618">
        <v>32427.646497999998</v>
      </c>
      <c r="AE618">
        <v>3.2427999999999998E-2</v>
      </c>
    </row>
    <row r="619" spans="1:31" x14ac:dyDescent="0.25">
      <c r="A619">
        <v>1009665</v>
      </c>
      <c r="B619">
        <v>9527</v>
      </c>
      <c r="C619" t="s">
        <v>34</v>
      </c>
      <c r="D619" t="str">
        <f t="shared" si="29"/>
        <v>WATER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100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25</v>
      </c>
      <c r="Z619" t="str">
        <f t="shared" si="30"/>
        <v>Lake</v>
      </c>
      <c r="AA619">
        <v>1</v>
      </c>
      <c r="AB619">
        <v>460381.55421099998</v>
      </c>
      <c r="AC619">
        <v>38.266866</v>
      </c>
      <c r="AD619">
        <v>46.142837</v>
      </c>
      <c r="AE619">
        <v>4.6E-5</v>
      </c>
    </row>
    <row r="620" spans="1:31" x14ac:dyDescent="0.25">
      <c r="A620">
        <v>1009698</v>
      </c>
      <c r="B620">
        <v>9480</v>
      </c>
      <c r="C620" t="s">
        <v>34</v>
      </c>
      <c r="D620" t="str">
        <f t="shared" si="29"/>
        <v>SBINTEN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100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t="str">
        <f t="shared" si="30"/>
        <v>NotLake</v>
      </c>
      <c r="AA620">
        <v>2</v>
      </c>
      <c r="AB620">
        <v>2613890.82766</v>
      </c>
      <c r="AC620">
        <v>189.049488</v>
      </c>
      <c r="AD620">
        <v>510.67732100000001</v>
      </c>
      <c r="AE620">
        <v>5.1099999999999995E-4</v>
      </c>
    </row>
    <row r="621" spans="1:31" x14ac:dyDescent="0.25">
      <c r="A621">
        <v>1009699</v>
      </c>
      <c r="B621">
        <v>9479</v>
      </c>
      <c r="C621" t="s">
        <v>34</v>
      </c>
      <c r="D621" t="str">
        <f t="shared" si="29"/>
        <v>SBINTEN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t="str">
        <f t="shared" si="30"/>
        <v>NotLake</v>
      </c>
      <c r="AA621">
        <v>3</v>
      </c>
      <c r="AB621">
        <v>254467.18734500001</v>
      </c>
      <c r="AC621">
        <v>2870.080344</v>
      </c>
      <c r="AD621">
        <v>128993.838233</v>
      </c>
      <c r="AE621">
        <v>0.128994</v>
      </c>
    </row>
    <row r="622" spans="1:31" x14ac:dyDescent="0.25">
      <c r="A622">
        <v>1009728</v>
      </c>
      <c r="B622">
        <v>9526</v>
      </c>
      <c r="C622" t="s">
        <v>34</v>
      </c>
      <c r="D622" t="str">
        <f t="shared" si="29"/>
        <v>SBINTEN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100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t="str">
        <f t="shared" si="30"/>
        <v>NotLake</v>
      </c>
      <c r="AA622">
        <v>5</v>
      </c>
      <c r="AB622">
        <v>318309.81075300003</v>
      </c>
      <c r="AC622">
        <v>2254.6589359999998</v>
      </c>
      <c r="AD622">
        <v>177903.85248900001</v>
      </c>
      <c r="AE622">
        <v>0.17790400000000001</v>
      </c>
    </row>
    <row r="623" spans="1:31" x14ac:dyDescent="0.25">
      <c r="A623">
        <v>1009728</v>
      </c>
      <c r="B623">
        <v>9526</v>
      </c>
      <c r="C623" t="s">
        <v>34</v>
      </c>
      <c r="D623" t="str">
        <f t="shared" si="29"/>
        <v>WATER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100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25</v>
      </c>
      <c r="Z623" t="str">
        <f t="shared" si="30"/>
        <v>Lake</v>
      </c>
      <c r="AA623">
        <v>5</v>
      </c>
      <c r="AB623">
        <v>318309.81075300003</v>
      </c>
      <c r="AC623">
        <v>406.91604599999999</v>
      </c>
      <c r="AD623">
        <v>2323.0077019999999</v>
      </c>
      <c r="AE623">
        <v>2.323E-3</v>
      </c>
    </row>
    <row r="624" spans="1:31" x14ac:dyDescent="0.25">
      <c r="A624">
        <v>1009752</v>
      </c>
      <c r="B624">
        <v>9528</v>
      </c>
      <c r="C624" t="s">
        <v>34</v>
      </c>
      <c r="D624" t="str">
        <f t="shared" si="29"/>
        <v>SBINTEN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t="str">
        <f t="shared" si="30"/>
        <v>NotLake</v>
      </c>
      <c r="AA624">
        <v>6</v>
      </c>
      <c r="AB624">
        <v>156457.58610099999</v>
      </c>
      <c r="AC624">
        <v>467.18397900000002</v>
      </c>
      <c r="AD624">
        <v>6620.0225229999996</v>
      </c>
      <c r="AE624">
        <v>6.62E-3</v>
      </c>
    </row>
    <row r="625" spans="1:31" x14ac:dyDescent="0.25">
      <c r="A625">
        <v>1009752</v>
      </c>
      <c r="B625">
        <v>9528</v>
      </c>
      <c r="C625" t="s">
        <v>34</v>
      </c>
      <c r="D625" t="str">
        <f t="shared" si="29"/>
        <v>WATER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25</v>
      </c>
      <c r="Z625" t="str">
        <f t="shared" si="30"/>
        <v>Lake</v>
      </c>
      <c r="AA625">
        <v>6</v>
      </c>
      <c r="AB625">
        <v>156457.58610099999</v>
      </c>
      <c r="AC625">
        <v>421.25789400000002</v>
      </c>
      <c r="AD625">
        <v>3558.9742689999998</v>
      </c>
      <c r="AE625">
        <v>3.5590000000000001E-3</v>
      </c>
    </row>
    <row r="626" spans="1:31" x14ac:dyDescent="0.25">
      <c r="A626">
        <v>1009832</v>
      </c>
      <c r="B626">
        <v>9677</v>
      </c>
      <c r="C626" t="s">
        <v>34</v>
      </c>
      <c r="D626" t="str">
        <f t="shared" si="29"/>
        <v>SBINTEN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t="str">
        <f t="shared" si="30"/>
        <v>NotLake</v>
      </c>
      <c r="AA626">
        <v>9</v>
      </c>
      <c r="AB626">
        <v>2223666.1798299998</v>
      </c>
      <c r="AC626">
        <v>1546.5204859999999</v>
      </c>
      <c r="AD626">
        <v>41567.678050000002</v>
      </c>
      <c r="AE626">
        <v>4.1568000000000001E-2</v>
      </c>
    </row>
    <row r="627" spans="1:31" x14ac:dyDescent="0.25">
      <c r="A627">
        <v>1010300</v>
      </c>
      <c r="B627">
        <v>10371</v>
      </c>
      <c r="C627" t="s">
        <v>34</v>
      </c>
      <c r="D627" t="str">
        <f t="shared" si="29"/>
        <v>WATER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25</v>
      </c>
      <c r="Z627" t="str">
        <f t="shared" si="30"/>
        <v>Lake</v>
      </c>
      <c r="AA627">
        <v>22</v>
      </c>
      <c r="AB627">
        <v>811054.57942700002</v>
      </c>
      <c r="AC627">
        <v>15.794466</v>
      </c>
      <c r="AD627">
        <v>8.9007079999999998</v>
      </c>
      <c r="AE627">
        <v>9.0000000000000002E-6</v>
      </c>
    </row>
    <row r="628" spans="1:31" x14ac:dyDescent="0.25">
      <c r="A628">
        <v>1010366</v>
      </c>
      <c r="B628">
        <v>10263</v>
      </c>
      <c r="C628" t="s">
        <v>34</v>
      </c>
      <c r="D628" t="str">
        <f t="shared" si="29"/>
        <v>WATER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25</v>
      </c>
      <c r="Z628" t="str">
        <f t="shared" si="30"/>
        <v>Lake</v>
      </c>
      <c r="AA628">
        <v>30</v>
      </c>
      <c r="AB628">
        <v>1623010.61307</v>
      </c>
      <c r="AC628">
        <v>22.140319999999999</v>
      </c>
      <c r="AD628">
        <v>17.489630999999999</v>
      </c>
      <c r="AE628">
        <v>1.7E-5</v>
      </c>
    </row>
    <row r="629" spans="1:31" x14ac:dyDescent="0.25">
      <c r="A629">
        <v>1010366</v>
      </c>
      <c r="B629">
        <v>10263</v>
      </c>
      <c r="C629" t="s">
        <v>34</v>
      </c>
      <c r="D629" t="str">
        <f t="shared" si="29"/>
        <v>SBINTEN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100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t="str">
        <f t="shared" si="30"/>
        <v>NotLake</v>
      </c>
      <c r="AA629">
        <v>30</v>
      </c>
      <c r="AB629">
        <v>1623010.61307</v>
      </c>
      <c r="AC629">
        <v>103.603134</v>
      </c>
      <c r="AD629">
        <v>115.80382</v>
      </c>
      <c r="AE629">
        <v>1.16E-4</v>
      </c>
    </row>
    <row r="630" spans="1:31" x14ac:dyDescent="0.25">
      <c r="A630">
        <v>1010366</v>
      </c>
      <c r="B630">
        <v>10263</v>
      </c>
      <c r="C630" t="s">
        <v>34</v>
      </c>
      <c r="D630" t="str">
        <f t="shared" si="29"/>
        <v>WATER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25</v>
      </c>
      <c r="Z630" t="str">
        <f t="shared" si="30"/>
        <v>Lake</v>
      </c>
      <c r="AA630">
        <v>30</v>
      </c>
      <c r="AB630">
        <v>1623010.61307</v>
      </c>
      <c r="AC630">
        <v>73.627565000000004</v>
      </c>
      <c r="AD630">
        <v>193.416573</v>
      </c>
      <c r="AE630">
        <v>1.93E-4</v>
      </c>
    </row>
    <row r="631" spans="1:31" x14ac:dyDescent="0.25">
      <c r="A631">
        <v>1010366</v>
      </c>
      <c r="B631">
        <v>10263</v>
      </c>
      <c r="C631" t="s">
        <v>34</v>
      </c>
      <c r="D631" t="str">
        <f t="shared" si="29"/>
        <v>SBINTEN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 t="str">
        <f t="shared" si="30"/>
        <v>NotLake</v>
      </c>
      <c r="AA631">
        <v>30</v>
      </c>
      <c r="AB631">
        <v>1623010.61307</v>
      </c>
      <c r="AC631">
        <v>66.505280999999997</v>
      </c>
      <c r="AD631">
        <v>170.19773900000001</v>
      </c>
      <c r="AE631">
        <v>1.7000000000000001E-4</v>
      </c>
    </row>
    <row r="632" spans="1:31" x14ac:dyDescent="0.25">
      <c r="A632">
        <v>1010366</v>
      </c>
      <c r="B632">
        <v>10263</v>
      </c>
      <c r="C632" t="s">
        <v>34</v>
      </c>
      <c r="D632" t="str">
        <f t="shared" si="29"/>
        <v>WATER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100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25</v>
      </c>
      <c r="Z632" t="str">
        <f t="shared" si="30"/>
        <v>Lake</v>
      </c>
      <c r="AA632">
        <v>30</v>
      </c>
      <c r="AB632">
        <v>1623010.61307</v>
      </c>
      <c r="AC632">
        <v>58.081395999999998</v>
      </c>
      <c r="AD632">
        <v>128.35305</v>
      </c>
      <c r="AE632">
        <v>1.2799999999999999E-4</v>
      </c>
    </row>
    <row r="633" spans="1:31" x14ac:dyDescent="0.25">
      <c r="A633">
        <v>1010366</v>
      </c>
      <c r="B633">
        <v>10263</v>
      </c>
      <c r="C633" t="s">
        <v>34</v>
      </c>
      <c r="D633" t="str">
        <f t="shared" si="29"/>
        <v>SBINTEN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 t="str">
        <f t="shared" si="30"/>
        <v>NotLake</v>
      </c>
      <c r="AA633">
        <v>30</v>
      </c>
      <c r="AB633">
        <v>1623010.61307</v>
      </c>
      <c r="AC633">
        <v>39.764958</v>
      </c>
      <c r="AD633">
        <v>55.872169</v>
      </c>
      <c r="AE633">
        <v>5.5999999999999999E-5</v>
      </c>
    </row>
    <row r="634" spans="1:31" x14ac:dyDescent="0.25">
      <c r="A634">
        <v>1010366</v>
      </c>
      <c r="B634">
        <v>10263</v>
      </c>
      <c r="C634" t="s">
        <v>34</v>
      </c>
      <c r="D634" t="str">
        <f t="shared" si="29"/>
        <v>SBINTEN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 t="str">
        <f t="shared" si="30"/>
        <v>NotLake</v>
      </c>
      <c r="AA634">
        <v>30</v>
      </c>
      <c r="AB634">
        <v>1623010.61307</v>
      </c>
      <c r="AC634">
        <v>144.74609899999999</v>
      </c>
      <c r="AD634">
        <v>571.11753499999998</v>
      </c>
      <c r="AE634">
        <v>5.71E-4</v>
      </c>
    </row>
    <row r="635" spans="1:31" x14ac:dyDescent="0.25">
      <c r="A635">
        <v>1010366</v>
      </c>
      <c r="B635">
        <v>10263</v>
      </c>
      <c r="C635" t="s">
        <v>34</v>
      </c>
      <c r="D635" t="str">
        <f t="shared" si="29"/>
        <v>WATER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100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25</v>
      </c>
      <c r="Z635" t="str">
        <f t="shared" si="30"/>
        <v>Lake</v>
      </c>
      <c r="AA635">
        <v>30</v>
      </c>
      <c r="AB635">
        <v>1623010.61307</v>
      </c>
      <c r="AC635">
        <v>250.490386</v>
      </c>
      <c r="AD635">
        <v>1044.229092</v>
      </c>
      <c r="AE635">
        <v>1.044E-3</v>
      </c>
    </row>
    <row r="636" spans="1:31" x14ac:dyDescent="0.25">
      <c r="A636">
        <v>1010366</v>
      </c>
      <c r="B636">
        <v>10263</v>
      </c>
      <c r="C636" t="s">
        <v>34</v>
      </c>
      <c r="D636" t="str">
        <f t="shared" si="29"/>
        <v>SBINTEN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 t="str">
        <f t="shared" si="30"/>
        <v>NotLake</v>
      </c>
      <c r="AA636">
        <v>30</v>
      </c>
      <c r="AB636">
        <v>1623010.61307</v>
      </c>
      <c r="AC636">
        <v>11.491300000000001</v>
      </c>
      <c r="AD636">
        <v>6.7020400000000002</v>
      </c>
      <c r="AE636">
        <v>6.9999999999999999E-6</v>
      </c>
    </row>
    <row r="637" spans="1:31" x14ac:dyDescent="0.25">
      <c r="A637">
        <v>1010366</v>
      </c>
      <c r="B637">
        <v>10263</v>
      </c>
      <c r="C637" t="s">
        <v>34</v>
      </c>
      <c r="D637" t="str">
        <f t="shared" si="29"/>
        <v>WATER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100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25</v>
      </c>
      <c r="Z637" t="str">
        <f t="shared" si="30"/>
        <v>Lake</v>
      </c>
      <c r="AA637">
        <v>30</v>
      </c>
      <c r="AB637">
        <v>1623010.61307</v>
      </c>
      <c r="AC637">
        <v>22.636378000000001</v>
      </c>
      <c r="AD637">
        <v>15.11842</v>
      </c>
      <c r="AE637">
        <v>1.5E-5</v>
      </c>
    </row>
    <row r="638" spans="1:31" x14ac:dyDescent="0.25">
      <c r="A638">
        <v>1010474</v>
      </c>
      <c r="B638">
        <v>10429</v>
      </c>
      <c r="C638" t="s">
        <v>34</v>
      </c>
      <c r="D638" t="str">
        <f t="shared" si="29"/>
        <v>SBINTEN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 t="str">
        <f t="shared" si="30"/>
        <v>NotLake</v>
      </c>
      <c r="AA638">
        <v>42</v>
      </c>
      <c r="AB638">
        <v>1544781.51786</v>
      </c>
      <c r="AC638">
        <v>6.7422110000000002</v>
      </c>
      <c r="AD638">
        <v>2.3875989999999998</v>
      </c>
      <c r="AE638">
        <v>1.9999999999999999E-6</v>
      </c>
    </row>
    <row r="639" spans="1:31" x14ac:dyDescent="0.25">
      <c r="A639">
        <v>1010474</v>
      </c>
      <c r="B639">
        <v>10429</v>
      </c>
      <c r="C639" t="s">
        <v>34</v>
      </c>
      <c r="D639" t="str">
        <f t="shared" si="29"/>
        <v>WATER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100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25</v>
      </c>
      <c r="Z639" t="str">
        <f t="shared" si="30"/>
        <v>Lake</v>
      </c>
      <c r="AA639">
        <v>42</v>
      </c>
      <c r="AB639">
        <v>1544781.51786</v>
      </c>
      <c r="AC639">
        <v>2.6868400000000001</v>
      </c>
      <c r="AD639">
        <v>0.30822100000000002</v>
      </c>
      <c r="AE639">
        <v>0</v>
      </c>
    </row>
    <row r="640" spans="1:31" x14ac:dyDescent="0.25">
      <c r="A640">
        <v>1010474</v>
      </c>
      <c r="B640">
        <v>10429</v>
      </c>
      <c r="C640" t="s">
        <v>34</v>
      </c>
      <c r="D640" t="str">
        <f t="shared" si="29"/>
        <v>WATER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100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25</v>
      </c>
      <c r="Z640" t="str">
        <f t="shared" si="30"/>
        <v>Lake</v>
      </c>
      <c r="AA640">
        <v>42</v>
      </c>
      <c r="AB640">
        <v>1544781.51786</v>
      </c>
      <c r="AC640">
        <v>24.230195999999999</v>
      </c>
      <c r="AD640">
        <v>21.631523999999999</v>
      </c>
      <c r="AE640">
        <v>2.1999999999999999E-5</v>
      </c>
    </row>
    <row r="641" spans="1:31" x14ac:dyDescent="0.25">
      <c r="A641">
        <v>1010474</v>
      </c>
      <c r="B641">
        <v>10429</v>
      </c>
      <c r="C641" t="s">
        <v>34</v>
      </c>
      <c r="D641" t="str">
        <f t="shared" si="29"/>
        <v>WATER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100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25</v>
      </c>
      <c r="Z641" t="str">
        <f t="shared" si="30"/>
        <v>Lake</v>
      </c>
      <c r="AA641">
        <v>42</v>
      </c>
      <c r="AB641">
        <v>1544781.51786</v>
      </c>
      <c r="AC641">
        <v>44.559649999999998</v>
      </c>
      <c r="AD641">
        <v>96.997794999999996</v>
      </c>
      <c r="AE641">
        <v>9.7E-5</v>
      </c>
    </row>
    <row r="642" spans="1:31" x14ac:dyDescent="0.25">
      <c r="A642">
        <v>1010490</v>
      </c>
      <c r="B642">
        <v>10696</v>
      </c>
      <c r="C642" t="s">
        <v>34</v>
      </c>
      <c r="D642" t="str">
        <f t="shared" si="29"/>
        <v>WATER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100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25</v>
      </c>
      <c r="Z642" t="str">
        <f t="shared" si="30"/>
        <v>Lake</v>
      </c>
      <c r="AA642">
        <v>43</v>
      </c>
      <c r="AB642">
        <v>1010666.12703</v>
      </c>
      <c r="AC642">
        <v>117.381732</v>
      </c>
      <c r="AD642">
        <v>427.30266499999999</v>
      </c>
      <c r="AE642">
        <v>4.2700000000000002E-4</v>
      </c>
    </row>
    <row r="643" spans="1:31" x14ac:dyDescent="0.25">
      <c r="A643">
        <v>1010490</v>
      </c>
      <c r="B643">
        <v>10696</v>
      </c>
      <c r="C643" t="s">
        <v>34</v>
      </c>
      <c r="D643" t="str">
        <f t="shared" ref="D643:D706" si="31">IF(Y643=0,C643,"WATER")</f>
        <v>SBINTEN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t="str">
        <f t="shared" ref="Z643:Z706" si="32">IF(Y643=0,"NotLake","Lake")</f>
        <v>NotLake</v>
      </c>
      <c r="AA643">
        <v>43</v>
      </c>
      <c r="AB643">
        <v>1010666.12703</v>
      </c>
      <c r="AC643">
        <v>71.170828999999998</v>
      </c>
      <c r="AD643">
        <v>186.51864900000001</v>
      </c>
      <c r="AE643">
        <v>1.8699999999999999E-4</v>
      </c>
    </row>
    <row r="644" spans="1:31" x14ac:dyDescent="0.25">
      <c r="A644">
        <v>1010490</v>
      </c>
      <c r="B644">
        <v>10696</v>
      </c>
      <c r="C644" t="s">
        <v>34</v>
      </c>
      <c r="D644" t="str">
        <f t="shared" si="31"/>
        <v>WATER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100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25</v>
      </c>
      <c r="Z644" t="str">
        <f t="shared" si="32"/>
        <v>Lake</v>
      </c>
      <c r="AA644">
        <v>43</v>
      </c>
      <c r="AB644">
        <v>1010666.12703</v>
      </c>
      <c r="AC644">
        <v>21.792784000000001</v>
      </c>
      <c r="AD644">
        <v>20.168220000000002</v>
      </c>
      <c r="AE644">
        <v>2.0000000000000002E-5</v>
      </c>
    </row>
    <row r="645" spans="1:31" x14ac:dyDescent="0.25">
      <c r="A645">
        <v>1009840</v>
      </c>
      <c r="B645">
        <v>10134</v>
      </c>
      <c r="C645" t="s">
        <v>34</v>
      </c>
      <c r="D645" t="str">
        <f t="shared" si="31"/>
        <v>WATER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100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25</v>
      </c>
      <c r="Z645" t="str">
        <f t="shared" si="32"/>
        <v>Lake</v>
      </c>
      <c r="AA645">
        <v>10</v>
      </c>
      <c r="AB645">
        <v>2209249.6887300001</v>
      </c>
      <c r="AC645">
        <v>21.641456000000002</v>
      </c>
      <c r="AD645">
        <v>17.207788000000001</v>
      </c>
      <c r="AE645">
        <v>1.7E-5</v>
      </c>
    </row>
    <row r="646" spans="1:31" x14ac:dyDescent="0.25">
      <c r="A646">
        <v>1009840</v>
      </c>
      <c r="B646">
        <v>10134</v>
      </c>
      <c r="C646" t="s">
        <v>34</v>
      </c>
      <c r="D646" t="str">
        <f t="shared" si="31"/>
        <v>WATER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100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25</v>
      </c>
      <c r="Z646" t="str">
        <f t="shared" si="32"/>
        <v>Lake</v>
      </c>
      <c r="AA646">
        <v>10</v>
      </c>
      <c r="AB646">
        <v>2209249.6887300001</v>
      </c>
      <c r="AC646">
        <v>57.884374999999999</v>
      </c>
      <c r="AD646">
        <v>131.17701199999999</v>
      </c>
      <c r="AE646">
        <v>1.3100000000000001E-4</v>
      </c>
    </row>
    <row r="647" spans="1:31" x14ac:dyDescent="0.25">
      <c r="A647">
        <v>1009840</v>
      </c>
      <c r="B647">
        <v>10134</v>
      </c>
      <c r="C647" t="s">
        <v>34</v>
      </c>
      <c r="D647" t="str">
        <f t="shared" si="31"/>
        <v>WATER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100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25</v>
      </c>
      <c r="Z647" t="str">
        <f t="shared" si="32"/>
        <v>Lake</v>
      </c>
      <c r="AA647">
        <v>10</v>
      </c>
      <c r="AB647">
        <v>2209249.6887300001</v>
      </c>
      <c r="AC647">
        <v>50.514701000000002</v>
      </c>
      <c r="AD647">
        <v>51.012258000000003</v>
      </c>
      <c r="AE647">
        <v>5.1E-5</v>
      </c>
    </row>
    <row r="648" spans="1:31" x14ac:dyDescent="0.25">
      <c r="A648">
        <v>1010490</v>
      </c>
      <c r="B648">
        <v>10696</v>
      </c>
      <c r="C648" t="s">
        <v>34</v>
      </c>
      <c r="D648" t="str">
        <f t="shared" si="31"/>
        <v>WATER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100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25</v>
      </c>
      <c r="Z648" t="str">
        <f t="shared" si="32"/>
        <v>Lake</v>
      </c>
      <c r="AA648">
        <v>43</v>
      </c>
      <c r="AB648">
        <v>1010666.12703</v>
      </c>
      <c r="AC648">
        <v>43.918706</v>
      </c>
      <c r="AD648">
        <v>88.624307000000002</v>
      </c>
      <c r="AE648">
        <v>8.8999999999999995E-5</v>
      </c>
    </row>
    <row r="649" spans="1:31" x14ac:dyDescent="0.25">
      <c r="A649">
        <v>1010490</v>
      </c>
      <c r="B649">
        <v>10696</v>
      </c>
      <c r="C649" t="s">
        <v>34</v>
      </c>
      <c r="D649" t="str">
        <f t="shared" si="31"/>
        <v>SBINTEN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t="str">
        <f t="shared" si="32"/>
        <v>NotLake</v>
      </c>
      <c r="AA649">
        <v>43</v>
      </c>
      <c r="AB649">
        <v>1010666.12703</v>
      </c>
      <c r="AC649">
        <v>93.379630000000006</v>
      </c>
      <c r="AD649">
        <v>320.123107</v>
      </c>
      <c r="AE649">
        <v>3.2000000000000003E-4</v>
      </c>
    </row>
    <row r="650" spans="1:31" x14ac:dyDescent="0.25">
      <c r="A650">
        <v>1010490</v>
      </c>
      <c r="B650">
        <v>10696</v>
      </c>
      <c r="C650" t="s">
        <v>34</v>
      </c>
      <c r="D650" t="str">
        <f t="shared" si="31"/>
        <v>WATER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100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25</v>
      </c>
      <c r="Z650" t="str">
        <f t="shared" si="32"/>
        <v>Lake</v>
      </c>
      <c r="AA650">
        <v>43</v>
      </c>
      <c r="AB650">
        <v>1010666.12703</v>
      </c>
      <c r="AC650">
        <v>45.341968999999999</v>
      </c>
      <c r="AD650">
        <v>67.537200999999996</v>
      </c>
      <c r="AE650">
        <v>6.7999999999999999E-5</v>
      </c>
    </row>
    <row r="651" spans="1:31" x14ac:dyDescent="0.25">
      <c r="A651">
        <v>1010474</v>
      </c>
      <c r="B651">
        <v>10429</v>
      </c>
      <c r="C651" t="s">
        <v>34</v>
      </c>
      <c r="D651" t="str">
        <f t="shared" si="31"/>
        <v>WATER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100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25</v>
      </c>
      <c r="Z651" t="str">
        <f t="shared" si="32"/>
        <v>Lake</v>
      </c>
      <c r="AA651">
        <v>42</v>
      </c>
      <c r="AB651">
        <v>1544781.51786</v>
      </c>
      <c r="AC651">
        <v>65.567142000000004</v>
      </c>
      <c r="AD651">
        <v>182.45486</v>
      </c>
      <c r="AE651">
        <v>1.8200000000000001E-4</v>
      </c>
    </row>
    <row r="652" spans="1:31" x14ac:dyDescent="0.25">
      <c r="A652">
        <v>1010474</v>
      </c>
      <c r="B652">
        <v>10429</v>
      </c>
      <c r="C652" t="s">
        <v>34</v>
      </c>
      <c r="D652" t="str">
        <f t="shared" si="31"/>
        <v>WATER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25</v>
      </c>
      <c r="Z652" t="str">
        <f t="shared" si="32"/>
        <v>Lake</v>
      </c>
      <c r="AA652">
        <v>42</v>
      </c>
      <c r="AB652">
        <v>1544781.51786</v>
      </c>
      <c r="AC652">
        <v>35.729765999999998</v>
      </c>
      <c r="AD652">
        <v>53.986044</v>
      </c>
      <c r="AE652">
        <v>5.3999999999999998E-5</v>
      </c>
    </row>
    <row r="653" spans="1:31" x14ac:dyDescent="0.25">
      <c r="A653">
        <v>1010423</v>
      </c>
      <c r="B653">
        <v>10241</v>
      </c>
      <c r="C653" t="s">
        <v>34</v>
      </c>
      <c r="D653" t="str">
        <f t="shared" si="31"/>
        <v>WATER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100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25</v>
      </c>
      <c r="Z653" t="str">
        <f t="shared" si="32"/>
        <v>Lake</v>
      </c>
      <c r="AA653">
        <v>38</v>
      </c>
      <c r="AB653">
        <v>403724.58460399997</v>
      </c>
      <c r="AC653">
        <v>43.548673999999998</v>
      </c>
      <c r="AD653">
        <v>108.627334</v>
      </c>
      <c r="AE653">
        <v>1.0900000000000001E-4</v>
      </c>
    </row>
    <row r="654" spans="1:31" x14ac:dyDescent="0.25">
      <c r="A654">
        <v>1010424</v>
      </c>
      <c r="B654">
        <v>10697</v>
      </c>
      <c r="C654" t="s">
        <v>34</v>
      </c>
      <c r="D654" t="str">
        <f t="shared" si="31"/>
        <v>WATER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100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25</v>
      </c>
      <c r="Z654" t="str">
        <f t="shared" si="32"/>
        <v>Lake</v>
      </c>
      <c r="AA654">
        <v>39</v>
      </c>
      <c r="AB654">
        <v>191522.43302999999</v>
      </c>
      <c r="AC654">
        <v>42.472386</v>
      </c>
      <c r="AD654">
        <v>70.490745000000004</v>
      </c>
      <c r="AE654">
        <v>6.9999999999999994E-5</v>
      </c>
    </row>
    <row r="655" spans="1:31" x14ac:dyDescent="0.25">
      <c r="A655">
        <v>1010424</v>
      </c>
      <c r="B655">
        <v>10697</v>
      </c>
      <c r="C655" t="s">
        <v>34</v>
      </c>
      <c r="D655" t="str">
        <f t="shared" si="31"/>
        <v>WATER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100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25</v>
      </c>
      <c r="Z655" t="str">
        <f t="shared" si="32"/>
        <v>Lake</v>
      </c>
      <c r="AA655">
        <v>39</v>
      </c>
      <c r="AB655">
        <v>191522.43302999999</v>
      </c>
      <c r="AC655">
        <v>114.62869000000001</v>
      </c>
      <c r="AD655">
        <v>513.68071399999997</v>
      </c>
      <c r="AE655">
        <v>5.1400000000000003E-4</v>
      </c>
    </row>
    <row r="656" spans="1:31" x14ac:dyDescent="0.25">
      <c r="A656">
        <v>1010424</v>
      </c>
      <c r="B656">
        <v>10697</v>
      </c>
      <c r="C656" t="s">
        <v>47</v>
      </c>
      <c r="D656" t="str">
        <f t="shared" si="31"/>
        <v>WATER</v>
      </c>
      <c r="E656">
        <v>0</v>
      </c>
      <c r="F656">
        <v>100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25</v>
      </c>
      <c r="Z656" t="str">
        <f t="shared" si="32"/>
        <v>Lake</v>
      </c>
      <c r="AA656">
        <v>39</v>
      </c>
      <c r="AB656">
        <v>191522.43302999999</v>
      </c>
      <c r="AC656">
        <v>54.128073999999998</v>
      </c>
      <c r="AD656">
        <v>136.89155500000001</v>
      </c>
      <c r="AE656">
        <v>1.37E-4</v>
      </c>
    </row>
    <row r="657" spans="1:31" x14ac:dyDescent="0.25">
      <c r="A657">
        <v>1010424</v>
      </c>
      <c r="B657">
        <v>10697</v>
      </c>
      <c r="C657" t="s">
        <v>47</v>
      </c>
      <c r="D657" t="str">
        <f t="shared" si="31"/>
        <v>WATER</v>
      </c>
      <c r="E657">
        <v>0</v>
      </c>
      <c r="F657">
        <v>100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25</v>
      </c>
      <c r="Z657" t="str">
        <f t="shared" si="32"/>
        <v>Lake</v>
      </c>
      <c r="AA657">
        <v>39</v>
      </c>
      <c r="AB657">
        <v>191522.43302999999</v>
      </c>
      <c r="AC657">
        <v>163.28544099999999</v>
      </c>
      <c r="AD657">
        <v>1015.829204</v>
      </c>
      <c r="AE657">
        <v>1.016E-3</v>
      </c>
    </row>
    <row r="658" spans="1:31" x14ac:dyDescent="0.25">
      <c r="A658">
        <v>1010424</v>
      </c>
      <c r="B658">
        <v>10697</v>
      </c>
      <c r="C658" t="s">
        <v>34</v>
      </c>
      <c r="D658" t="str">
        <f t="shared" si="31"/>
        <v>WATER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100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25</v>
      </c>
      <c r="Z658" t="str">
        <f t="shared" si="32"/>
        <v>Lake</v>
      </c>
      <c r="AA658">
        <v>39</v>
      </c>
      <c r="AB658">
        <v>191522.43302999999</v>
      </c>
      <c r="AC658">
        <v>33.965679999999999</v>
      </c>
      <c r="AD658">
        <v>46.095154999999998</v>
      </c>
      <c r="AE658">
        <v>4.6E-5</v>
      </c>
    </row>
    <row r="659" spans="1:31" x14ac:dyDescent="0.25">
      <c r="A659">
        <v>1010424</v>
      </c>
      <c r="B659">
        <v>10697</v>
      </c>
      <c r="C659" t="s">
        <v>34</v>
      </c>
      <c r="D659" t="str">
        <f t="shared" si="31"/>
        <v>WATER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100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25</v>
      </c>
      <c r="Z659" t="str">
        <f t="shared" si="32"/>
        <v>Lake</v>
      </c>
      <c r="AA659">
        <v>39</v>
      </c>
      <c r="AB659">
        <v>191522.43302999999</v>
      </c>
      <c r="AC659">
        <v>62.131715999999997</v>
      </c>
      <c r="AD659">
        <v>127.396732</v>
      </c>
      <c r="AE659">
        <v>1.27E-4</v>
      </c>
    </row>
    <row r="660" spans="1:31" x14ac:dyDescent="0.25">
      <c r="A660">
        <v>1010366</v>
      </c>
      <c r="B660">
        <v>10263</v>
      </c>
      <c r="C660" t="s">
        <v>34</v>
      </c>
      <c r="D660" t="str">
        <f t="shared" si="31"/>
        <v>WATER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100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25</v>
      </c>
      <c r="Z660" t="str">
        <f t="shared" si="32"/>
        <v>Lake</v>
      </c>
      <c r="AA660">
        <v>30</v>
      </c>
      <c r="AB660">
        <v>1623010.61307</v>
      </c>
      <c r="AC660">
        <v>51.828629999999997</v>
      </c>
      <c r="AD660">
        <v>106.199744</v>
      </c>
      <c r="AE660">
        <v>1.06E-4</v>
      </c>
    </row>
    <row r="661" spans="1:31" x14ac:dyDescent="0.25">
      <c r="A661">
        <v>1010366</v>
      </c>
      <c r="B661">
        <v>10263</v>
      </c>
      <c r="C661" t="s">
        <v>34</v>
      </c>
      <c r="D661" t="str">
        <f t="shared" si="31"/>
        <v>WATER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100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25</v>
      </c>
      <c r="Z661" t="str">
        <f t="shared" si="32"/>
        <v>Lake</v>
      </c>
      <c r="AA661">
        <v>30</v>
      </c>
      <c r="AB661">
        <v>1623010.61307</v>
      </c>
      <c r="AC661">
        <v>26.468119000000002</v>
      </c>
      <c r="AD661">
        <v>15.004227</v>
      </c>
      <c r="AE661">
        <v>1.5E-5</v>
      </c>
    </row>
    <row r="662" spans="1:31" x14ac:dyDescent="0.25">
      <c r="A662">
        <v>1010366</v>
      </c>
      <c r="B662">
        <v>10263</v>
      </c>
      <c r="C662" t="s">
        <v>34</v>
      </c>
      <c r="D662" t="str">
        <f t="shared" si="31"/>
        <v>WATER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25</v>
      </c>
      <c r="Z662" t="str">
        <f t="shared" si="32"/>
        <v>Lake</v>
      </c>
      <c r="AA662">
        <v>30</v>
      </c>
      <c r="AB662">
        <v>1623010.61307</v>
      </c>
      <c r="AC662">
        <v>28.122997000000002</v>
      </c>
      <c r="AD662">
        <v>33.922680999999997</v>
      </c>
      <c r="AE662">
        <v>3.4E-5</v>
      </c>
    </row>
    <row r="663" spans="1:31" x14ac:dyDescent="0.25">
      <c r="A663">
        <v>1010474</v>
      </c>
      <c r="B663">
        <v>10429</v>
      </c>
      <c r="C663" t="s">
        <v>34</v>
      </c>
      <c r="D663" t="str">
        <f t="shared" si="31"/>
        <v>WATER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100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25</v>
      </c>
      <c r="Z663" t="str">
        <f t="shared" si="32"/>
        <v>Lake</v>
      </c>
      <c r="AA663">
        <v>42</v>
      </c>
      <c r="AB663">
        <v>1544781.51786</v>
      </c>
      <c r="AC663">
        <v>26.618980000000001</v>
      </c>
      <c r="AD663">
        <v>31.081748999999999</v>
      </c>
      <c r="AE663">
        <v>3.1000000000000001E-5</v>
      </c>
    </row>
    <row r="664" spans="1:31" x14ac:dyDescent="0.25">
      <c r="A664">
        <v>1010474</v>
      </c>
      <c r="B664">
        <v>10429</v>
      </c>
      <c r="C664" t="s">
        <v>34</v>
      </c>
      <c r="D664" t="str">
        <f t="shared" si="31"/>
        <v>WATER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100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25</v>
      </c>
      <c r="Z664" t="str">
        <f t="shared" si="32"/>
        <v>Lake</v>
      </c>
      <c r="AA664">
        <v>42</v>
      </c>
      <c r="AB664">
        <v>1544781.51786</v>
      </c>
      <c r="AC664">
        <v>17.746704999999999</v>
      </c>
      <c r="AD664">
        <v>13.446653</v>
      </c>
      <c r="AE664">
        <v>1.2999999999999999E-5</v>
      </c>
    </row>
    <row r="665" spans="1:31" x14ac:dyDescent="0.25">
      <c r="A665">
        <v>1010366</v>
      </c>
      <c r="B665">
        <v>10263</v>
      </c>
      <c r="C665" t="s">
        <v>34</v>
      </c>
      <c r="D665" t="str">
        <f t="shared" si="31"/>
        <v>SBINTEN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100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tr">
        <f t="shared" si="32"/>
        <v>NotLake</v>
      </c>
      <c r="AA665">
        <v>30</v>
      </c>
      <c r="AB665">
        <v>1623010.61307</v>
      </c>
      <c r="AC665">
        <v>11.491300000000001</v>
      </c>
      <c r="AD665">
        <v>6.7020400000000002</v>
      </c>
      <c r="AE665">
        <v>6.9999999999999999E-6</v>
      </c>
    </row>
    <row r="666" spans="1:31" x14ac:dyDescent="0.25">
      <c r="A666">
        <v>1010366</v>
      </c>
      <c r="B666">
        <v>10263</v>
      </c>
      <c r="C666" t="s">
        <v>34</v>
      </c>
      <c r="D666" t="str">
        <f t="shared" si="31"/>
        <v>WATER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100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25</v>
      </c>
      <c r="Z666" t="str">
        <f t="shared" si="32"/>
        <v>Lake</v>
      </c>
      <c r="AA666">
        <v>30</v>
      </c>
      <c r="AB666">
        <v>1623010.61307</v>
      </c>
      <c r="AC666">
        <v>48.847479</v>
      </c>
      <c r="AD666">
        <v>77.607742999999999</v>
      </c>
      <c r="AE666">
        <v>7.7999999999999999E-5</v>
      </c>
    </row>
    <row r="667" spans="1:31" x14ac:dyDescent="0.25">
      <c r="A667">
        <v>1010366</v>
      </c>
      <c r="B667">
        <v>10263</v>
      </c>
      <c r="C667" t="s">
        <v>34</v>
      </c>
      <c r="D667" t="str">
        <f t="shared" si="31"/>
        <v>WATER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25</v>
      </c>
      <c r="Z667" t="str">
        <f t="shared" si="32"/>
        <v>Lake</v>
      </c>
      <c r="AA667">
        <v>30</v>
      </c>
      <c r="AB667">
        <v>1623010.61307</v>
      </c>
      <c r="AC667">
        <v>257.31887799999998</v>
      </c>
      <c r="AD667">
        <v>1757.2427210000001</v>
      </c>
      <c r="AE667">
        <v>1.7570000000000001E-3</v>
      </c>
    </row>
    <row r="668" spans="1:31" x14ac:dyDescent="0.25">
      <c r="A668">
        <v>1010366</v>
      </c>
      <c r="B668">
        <v>10263</v>
      </c>
      <c r="C668" t="s">
        <v>34</v>
      </c>
      <c r="D668" t="str">
        <f t="shared" si="31"/>
        <v>SBINTEN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100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t="str">
        <f t="shared" si="32"/>
        <v>NotLake</v>
      </c>
      <c r="AA668">
        <v>30</v>
      </c>
      <c r="AB668">
        <v>1623010.61307</v>
      </c>
      <c r="AC668">
        <v>19.258572999999998</v>
      </c>
      <c r="AD668">
        <v>11.450651000000001</v>
      </c>
      <c r="AE668">
        <v>1.1E-5</v>
      </c>
    </row>
    <row r="669" spans="1:31" x14ac:dyDescent="0.25">
      <c r="A669">
        <v>1009840</v>
      </c>
      <c r="B669">
        <v>10134</v>
      </c>
      <c r="C669" t="s">
        <v>34</v>
      </c>
      <c r="D669" t="str">
        <f t="shared" si="31"/>
        <v>WATER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100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25</v>
      </c>
      <c r="Z669" t="str">
        <f t="shared" si="32"/>
        <v>Lake</v>
      </c>
      <c r="AA669">
        <v>10</v>
      </c>
      <c r="AB669">
        <v>2209249.6887300001</v>
      </c>
      <c r="AC669">
        <v>407.33032700000001</v>
      </c>
      <c r="AD669">
        <v>2097.2945329999998</v>
      </c>
      <c r="AE669">
        <v>2.0969999999999999E-3</v>
      </c>
    </row>
    <row r="670" spans="1:31" x14ac:dyDescent="0.25">
      <c r="A670">
        <v>1009840</v>
      </c>
      <c r="B670">
        <v>10134</v>
      </c>
      <c r="C670" t="s">
        <v>34</v>
      </c>
      <c r="D670" t="str">
        <f t="shared" si="31"/>
        <v>WATER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100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25</v>
      </c>
      <c r="Z670" t="str">
        <f t="shared" si="32"/>
        <v>Lake</v>
      </c>
      <c r="AA670">
        <v>10</v>
      </c>
      <c r="AB670">
        <v>2209249.6887300001</v>
      </c>
      <c r="AC670">
        <v>4.4552569999999996</v>
      </c>
      <c r="AD670">
        <v>0.79252699999999998</v>
      </c>
      <c r="AE670">
        <v>9.9999999999999995E-7</v>
      </c>
    </row>
    <row r="671" spans="1:31" x14ac:dyDescent="0.25">
      <c r="A671">
        <v>1009665</v>
      </c>
      <c r="B671">
        <v>9527</v>
      </c>
      <c r="C671" t="s">
        <v>47</v>
      </c>
      <c r="D671" t="str">
        <f t="shared" si="31"/>
        <v>WATER</v>
      </c>
      <c r="E671">
        <v>0</v>
      </c>
      <c r="F671">
        <v>100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25</v>
      </c>
      <c r="Z671" t="str">
        <f t="shared" si="32"/>
        <v>Lake</v>
      </c>
      <c r="AA671">
        <v>1</v>
      </c>
      <c r="AB671">
        <v>460381.55421099998</v>
      </c>
      <c r="AC671">
        <v>45.199534999999997</v>
      </c>
      <c r="AD671">
        <v>106.70407299999999</v>
      </c>
      <c r="AE671">
        <v>1.07E-4</v>
      </c>
    </row>
    <row r="672" spans="1:31" x14ac:dyDescent="0.25">
      <c r="A672">
        <v>1009728</v>
      </c>
      <c r="B672">
        <v>9526</v>
      </c>
      <c r="C672" t="s">
        <v>47</v>
      </c>
      <c r="D672" t="str">
        <f t="shared" si="31"/>
        <v>WATER</v>
      </c>
      <c r="E672">
        <v>0</v>
      </c>
      <c r="F672">
        <v>100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25</v>
      </c>
      <c r="Z672" t="str">
        <f t="shared" si="32"/>
        <v>Lake</v>
      </c>
      <c r="AA672">
        <v>5</v>
      </c>
      <c r="AB672">
        <v>318309.81075300003</v>
      </c>
      <c r="AC672">
        <v>9.8869240000000005</v>
      </c>
      <c r="AD672">
        <v>2.6594139999999999</v>
      </c>
      <c r="AE672">
        <v>3.0000000000000001E-6</v>
      </c>
    </row>
    <row r="673" spans="1:31" x14ac:dyDescent="0.25">
      <c r="A673">
        <v>1009728</v>
      </c>
      <c r="B673">
        <v>9526</v>
      </c>
      <c r="C673" t="s">
        <v>47</v>
      </c>
      <c r="D673" t="str">
        <f t="shared" si="31"/>
        <v>WATER</v>
      </c>
      <c r="E673">
        <v>0</v>
      </c>
      <c r="F673">
        <v>100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25</v>
      </c>
      <c r="Z673" t="str">
        <f t="shared" si="32"/>
        <v>Lake</v>
      </c>
      <c r="AA673">
        <v>5</v>
      </c>
      <c r="AB673">
        <v>318309.81075300003</v>
      </c>
      <c r="AC673">
        <v>53.533630000000002</v>
      </c>
      <c r="AD673">
        <v>78.478566000000001</v>
      </c>
      <c r="AE673">
        <v>7.7999999999999999E-5</v>
      </c>
    </row>
    <row r="674" spans="1:31" x14ac:dyDescent="0.25">
      <c r="A674">
        <v>1010461</v>
      </c>
      <c r="B674">
        <v>10402</v>
      </c>
      <c r="C674" t="s">
        <v>33</v>
      </c>
      <c r="D674" t="str">
        <f t="shared" si="31"/>
        <v>DAIRY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100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 t="str">
        <f t="shared" si="32"/>
        <v>NotLake</v>
      </c>
      <c r="AA674">
        <v>40</v>
      </c>
      <c r="AB674">
        <v>938753.97368599998</v>
      </c>
      <c r="AC674">
        <v>370.62566199999998</v>
      </c>
      <c r="AD674">
        <v>3411.6944950000002</v>
      </c>
      <c r="AE674">
        <v>3.4120000000000001E-3</v>
      </c>
    </row>
    <row r="675" spans="1:31" x14ac:dyDescent="0.25">
      <c r="A675">
        <v>1010548</v>
      </c>
      <c r="B675">
        <v>10318</v>
      </c>
      <c r="C675" t="s">
        <v>33</v>
      </c>
      <c r="D675" t="str">
        <f t="shared" si="31"/>
        <v>DAIRY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100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t="str">
        <f t="shared" si="32"/>
        <v>NotLake</v>
      </c>
      <c r="AA675">
        <v>44</v>
      </c>
      <c r="AB675">
        <v>254468.65062599999</v>
      </c>
      <c r="AC675">
        <v>248.339586</v>
      </c>
      <c r="AD675">
        <v>320.02097199999997</v>
      </c>
      <c r="AE675">
        <v>3.2000000000000003E-4</v>
      </c>
    </row>
    <row r="676" spans="1:31" x14ac:dyDescent="0.25">
      <c r="A676">
        <v>1010556</v>
      </c>
      <c r="B676">
        <v>10368</v>
      </c>
      <c r="C676" t="s">
        <v>33</v>
      </c>
      <c r="D676" t="str">
        <f t="shared" si="31"/>
        <v>DAIRY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100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 t="str">
        <f t="shared" si="32"/>
        <v>NotLake</v>
      </c>
      <c r="AA676">
        <v>45</v>
      </c>
      <c r="AB676">
        <v>340789.19214499998</v>
      </c>
      <c r="AC676">
        <v>189.38671600000001</v>
      </c>
      <c r="AD676">
        <v>1283.577311</v>
      </c>
      <c r="AE676">
        <v>1.284E-3</v>
      </c>
    </row>
    <row r="677" spans="1:31" x14ac:dyDescent="0.25">
      <c r="A677">
        <v>1010461</v>
      </c>
      <c r="B677">
        <v>10402</v>
      </c>
      <c r="C677" t="s">
        <v>33</v>
      </c>
      <c r="D677" t="str">
        <f t="shared" si="31"/>
        <v>DAIRY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100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 t="str">
        <f t="shared" si="32"/>
        <v>NotLake</v>
      </c>
      <c r="AA677">
        <v>40</v>
      </c>
      <c r="AB677">
        <v>938753.97368599998</v>
      </c>
      <c r="AC677">
        <v>1029.3068310000001</v>
      </c>
      <c r="AD677">
        <v>1274.1174860000001</v>
      </c>
      <c r="AE677">
        <v>1.274E-3</v>
      </c>
    </row>
    <row r="678" spans="1:31" x14ac:dyDescent="0.25">
      <c r="A678">
        <v>1010461</v>
      </c>
      <c r="B678">
        <v>10402</v>
      </c>
      <c r="C678" t="s">
        <v>33</v>
      </c>
      <c r="D678" t="str">
        <f t="shared" si="31"/>
        <v>DAIRY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100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t="str">
        <f t="shared" si="32"/>
        <v>NotLake</v>
      </c>
      <c r="AA678">
        <v>40</v>
      </c>
      <c r="AB678">
        <v>938753.97368599998</v>
      </c>
      <c r="AC678">
        <v>574.64427499999999</v>
      </c>
      <c r="AD678">
        <v>4783.4145170000002</v>
      </c>
      <c r="AE678">
        <v>4.7829999999999999E-3</v>
      </c>
    </row>
    <row r="679" spans="1:31" x14ac:dyDescent="0.25">
      <c r="A679">
        <v>1010462</v>
      </c>
      <c r="B679">
        <v>10414</v>
      </c>
      <c r="C679" t="s">
        <v>33</v>
      </c>
      <c r="D679" t="str">
        <f t="shared" si="31"/>
        <v>DAIRY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100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 t="str">
        <f t="shared" si="32"/>
        <v>NotLake</v>
      </c>
      <c r="AA679">
        <v>41</v>
      </c>
      <c r="AB679">
        <v>1152767.33971</v>
      </c>
      <c r="AC679">
        <v>1411.7742479999999</v>
      </c>
      <c r="AD679">
        <v>12305.476086000001</v>
      </c>
      <c r="AE679">
        <v>1.2305E-2</v>
      </c>
    </row>
    <row r="680" spans="1:31" x14ac:dyDescent="0.25">
      <c r="A680">
        <v>1010387</v>
      </c>
      <c r="B680">
        <v>10369</v>
      </c>
      <c r="C680" t="s">
        <v>33</v>
      </c>
      <c r="D680" t="str">
        <f t="shared" si="31"/>
        <v>DAIRY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100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 t="str">
        <f t="shared" si="32"/>
        <v>NotLake</v>
      </c>
      <c r="AA680">
        <v>33</v>
      </c>
      <c r="AB680">
        <v>284141.21308399999</v>
      </c>
      <c r="AC680">
        <v>336.31569500000001</v>
      </c>
      <c r="AD680">
        <v>2248.3962419999998</v>
      </c>
      <c r="AE680">
        <v>2.248E-3</v>
      </c>
    </row>
    <row r="681" spans="1:31" x14ac:dyDescent="0.25">
      <c r="A681">
        <v>1010388</v>
      </c>
      <c r="B681">
        <v>10275</v>
      </c>
      <c r="C681" t="s">
        <v>33</v>
      </c>
      <c r="D681" t="str">
        <f t="shared" si="31"/>
        <v>DAIRY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100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tr">
        <f t="shared" si="32"/>
        <v>NotLake</v>
      </c>
      <c r="AA681">
        <v>34</v>
      </c>
      <c r="AB681">
        <v>445096.22644200001</v>
      </c>
      <c r="AC681">
        <v>189.13838699999999</v>
      </c>
      <c r="AD681">
        <v>1403.067389</v>
      </c>
      <c r="AE681">
        <v>1.403E-3</v>
      </c>
    </row>
    <row r="682" spans="1:31" x14ac:dyDescent="0.25">
      <c r="A682">
        <v>1010344</v>
      </c>
      <c r="B682">
        <v>10142</v>
      </c>
      <c r="C682" t="s">
        <v>33</v>
      </c>
      <c r="D682" t="str">
        <f t="shared" si="31"/>
        <v>DAIRY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100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 t="str">
        <f t="shared" si="32"/>
        <v>NotLake</v>
      </c>
      <c r="AA682">
        <v>26</v>
      </c>
      <c r="AB682">
        <v>583577.16153899999</v>
      </c>
      <c r="AC682">
        <v>361.310588</v>
      </c>
      <c r="AD682">
        <v>5520.1050230000001</v>
      </c>
      <c r="AE682">
        <v>5.5199999999999997E-3</v>
      </c>
    </row>
    <row r="683" spans="1:31" x14ac:dyDescent="0.25">
      <c r="A683">
        <v>1010288</v>
      </c>
      <c r="B683">
        <v>10178</v>
      </c>
      <c r="C683" t="s">
        <v>33</v>
      </c>
      <c r="D683" t="str">
        <f t="shared" si="31"/>
        <v>DAIRY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 t="str">
        <f t="shared" si="32"/>
        <v>NotLake</v>
      </c>
      <c r="AA683">
        <v>20</v>
      </c>
      <c r="AB683">
        <v>1401826.08345</v>
      </c>
      <c r="AC683">
        <v>1282.8557639999999</v>
      </c>
      <c r="AD683">
        <v>15319.365781</v>
      </c>
      <c r="AE683">
        <v>1.5318999999999999E-2</v>
      </c>
    </row>
    <row r="684" spans="1:31" x14ac:dyDescent="0.25">
      <c r="A684">
        <v>1010301</v>
      </c>
      <c r="B684">
        <v>10173</v>
      </c>
      <c r="C684" t="s">
        <v>33</v>
      </c>
      <c r="D684" t="str">
        <f t="shared" si="31"/>
        <v>DAIRY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100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 t="str">
        <f t="shared" si="32"/>
        <v>NotLake</v>
      </c>
      <c r="AA684">
        <v>23</v>
      </c>
      <c r="AB684">
        <v>425314.40753199998</v>
      </c>
      <c r="AC684">
        <v>942.46505500000001</v>
      </c>
      <c r="AD684">
        <v>10789.821361</v>
      </c>
      <c r="AE684">
        <v>1.0789999999999999E-2</v>
      </c>
    </row>
    <row r="685" spans="1:31" x14ac:dyDescent="0.25">
      <c r="A685">
        <v>1010388</v>
      </c>
      <c r="B685">
        <v>10275</v>
      </c>
      <c r="C685" t="s">
        <v>33</v>
      </c>
      <c r="D685" t="str">
        <f t="shared" si="31"/>
        <v>DAIRY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100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str">
        <f t="shared" si="32"/>
        <v>NotLake</v>
      </c>
      <c r="AA685">
        <v>34</v>
      </c>
      <c r="AB685">
        <v>445096.22644200001</v>
      </c>
      <c r="AC685">
        <v>609.35521100000005</v>
      </c>
      <c r="AD685">
        <v>6934.609907</v>
      </c>
      <c r="AE685">
        <v>6.9350000000000002E-3</v>
      </c>
    </row>
    <row r="686" spans="1:31" x14ac:dyDescent="0.25">
      <c r="A686">
        <v>1010344</v>
      </c>
      <c r="B686">
        <v>10142</v>
      </c>
      <c r="C686" t="s">
        <v>33</v>
      </c>
      <c r="D686" t="str">
        <f t="shared" si="31"/>
        <v>DAIRY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100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 t="str">
        <f t="shared" si="32"/>
        <v>NotLake</v>
      </c>
      <c r="AA686">
        <v>26</v>
      </c>
      <c r="AB686">
        <v>583577.16153899999</v>
      </c>
      <c r="AC686">
        <v>350.78563000000003</v>
      </c>
      <c r="AD686">
        <v>2380.0838779999999</v>
      </c>
      <c r="AE686">
        <v>2.3800000000000002E-3</v>
      </c>
    </row>
    <row r="687" spans="1:31" x14ac:dyDescent="0.25">
      <c r="A687">
        <v>1010462</v>
      </c>
      <c r="B687">
        <v>10414</v>
      </c>
      <c r="C687" t="s">
        <v>33</v>
      </c>
      <c r="D687" t="str">
        <f t="shared" si="31"/>
        <v>DAIRY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100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 t="str">
        <f t="shared" si="32"/>
        <v>NotLake</v>
      </c>
      <c r="AA687">
        <v>41</v>
      </c>
      <c r="AB687">
        <v>1152767.33971</v>
      </c>
      <c r="AC687">
        <v>46.550277999999999</v>
      </c>
      <c r="AD687">
        <v>21.112812000000002</v>
      </c>
      <c r="AE687">
        <v>2.0999999999999999E-5</v>
      </c>
    </row>
    <row r="688" spans="1:31" x14ac:dyDescent="0.25">
      <c r="A688">
        <v>1010300</v>
      </c>
      <c r="B688">
        <v>10371</v>
      </c>
      <c r="C688" t="s">
        <v>33</v>
      </c>
      <c r="D688" t="str">
        <f t="shared" si="31"/>
        <v>DAIRY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100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 t="str">
        <f t="shared" si="32"/>
        <v>NotLake</v>
      </c>
      <c r="AA688">
        <v>22</v>
      </c>
      <c r="AB688">
        <v>811054.57942700002</v>
      </c>
      <c r="AC688">
        <v>575.29003599999999</v>
      </c>
      <c r="AD688">
        <v>1756.8710470000001</v>
      </c>
      <c r="AE688">
        <v>1.7570000000000001E-3</v>
      </c>
    </row>
    <row r="689" spans="1:31" x14ac:dyDescent="0.25">
      <c r="A689">
        <v>1010300</v>
      </c>
      <c r="B689">
        <v>10371</v>
      </c>
      <c r="C689" t="s">
        <v>33</v>
      </c>
      <c r="D689" t="str">
        <f t="shared" si="31"/>
        <v>WATER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100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25</v>
      </c>
      <c r="Z689" t="str">
        <f t="shared" si="32"/>
        <v>Lake</v>
      </c>
      <c r="AA689">
        <v>22</v>
      </c>
      <c r="AB689">
        <v>811054.57942700002</v>
      </c>
      <c r="AC689">
        <v>735.283007</v>
      </c>
      <c r="AD689">
        <v>4045.9226290000001</v>
      </c>
      <c r="AE689">
        <v>4.0460000000000001E-3</v>
      </c>
    </row>
    <row r="690" spans="1:31" x14ac:dyDescent="0.25">
      <c r="A690">
        <v>1010306</v>
      </c>
      <c r="B690">
        <v>10370</v>
      </c>
      <c r="C690" t="s">
        <v>33</v>
      </c>
      <c r="D690" t="str">
        <f t="shared" si="31"/>
        <v>WATER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100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25</v>
      </c>
      <c r="Z690" t="str">
        <f t="shared" si="32"/>
        <v>Lake</v>
      </c>
      <c r="AA690">
        <v>24</v>
      </c>
      <c r="AB690">
        <v>133978.16968799999</v>
      </c>
      <c r="AC690">
        <v>103.556156</v>
      </c>
      <c r="AD690">
        <v>234.17881199999999</v>
      </c>
      <c r="AE690">
        <v>2.34E-4</v>
      </c>
    </row>
    <row r="691" spans="1:31" x14ac:dyDescent="0.25">
      <c r="A691">
        <v>1010366</v>
      </c>
      <c r="B691">
        <v>10263</v>
      </c>
      <c r="C691" t="s">
        <v>33</v>
      </c>
      <c r="D691" t="str">
        <f t="shared" si="31"/>
        <v>DAIRY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100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t="str">
        <f t="shared" si="32"/>
        <v>NotLake</v>
      </c>
      <c r="AA691">
        <v>30</v>
      </c>
      <c r="AB691">
        <v>1623010.61307</v>
      </c>
      <c r="AC691">
        <v>58.541494999999998</v>
      </c>
      <c r="AD691">
        <v>43.310999000000002</v>
      </c>
      <c r="AE691">
        <v>4.3000000000000002E-5</v>
      </c>
    </row>
    <row r="692" spans="1:31" x14ac:dyDescent="0.25">
      <c r="A692">
        <v>1010366</v>
      </c>
      <c r="B692">
        <v>10263</v>
      </c>
      <c r="C692" t="s">
        <v>33</v>
      </c>
      <c r="D692" t="str">
        <f t="shared" si="31"/>
        <v>WATER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100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25</v>
      </c>
      <c r="Z692" t="str">
        <f t="shared" si="32"/>
        <v>Lake</v>
      </c>
      <c r="AA692">
        <v>30</v>
      </c>
      <c r="AB692">
        <v>1623010.61307</v>
      </c>
      <c r="AC692">
        <v>206.760085</v>
      </c>
      <c r="AD692">
        <v>310.54427099999998</v>
      </c>
      <c r="AE692">
        <v>3.1100000000000002E-4</v>
      </c>
    </row>
    <row r="693" spans="1:31" x14ac:dyDescent="0.25">
      <c r="A693">
        <v>1010301</v>
      </c>
      <c r="B693">
        <v>10173</v>
      </c>
      <c r="C693" t="s">
        <v>33</v>
      </c>
      <c r="D693" t="str">
        <f t="shared" si="31"/>
        <v>WATER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100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25</v>
      </c>
      <c r="Z693" t="str">
        <f t="shared" si="32"/>
        <v>Lake</v>
      </c>
      <c r="AA693">
        <v>23</v>
      </c>
      <c r="AB693">
        <v>425314.40753199998</v>
      </c>
      <c r="AC693">
        <v>172.33588499999999</v>
      </c>
      <c r="AD693">
        <v>749.35102900000004</v>
      </c>
      <c r="AE693">
        <v>7.4899999999999999E-4</v>
      </c>
    </row>
    <row r="694" spans="1:31" x14ac:dyDescent="0.25">
      <c r="A694">
        <v>1010306</v>
      </c>
      <c r="B694">
        <v>10370</v>
      </c>
      <c r="C694" t="s">
        <v>33</v>
      </c>
      <c r="D694" t="str">
        <f t="shared" si="31"/>
        <v>WATER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100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25</v>
      </c>
      <c r="Z694" t="str">
        <f t="shared" si="32"/>
        <v>Lake</v>
      </c>
      <c r="AA694">
        <v>24</v>
      </c>
      <c r="AB694">
        <v>133978.16968799999</v>
      </c>
      <c r="AC694">
        <v>145.74722700000001</v>
      </c>
      <c r="AD694">
        <v>296.61120799999998</v>
      </c>
      <c r="AE694">
        <v>2.9700000000000001E-4</v>
      </c>
    </row>
    <row r="695" spans="1:31" x14ac:dyDescent="0.25">
      <c r="A695">
        <v>1010140</v>
      </c>
      <c r="B695">
        <v>9960</v>
      </c>
      <c r="C695" t="s">
        <v>33</v>
      </c>
      <c r="D695" t="str">
        <f t="shared" si="31"/>
        <v>DAIRY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100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t="str">
        <f t="shared" si="32"/>
        <v>NotLake</v>
      </c>
      <c r="AA695">
        <v>16</v>
      </c>
      <c r="AB695">
        <v>369568.60371699999</v>
      </c>
      <c r="AC695">
        <v>3.351909</v>
      </c>
      <c r="AD695">
        <v>8.0590999999999996E-2</v>
      </c>
      <c r="AE695">
        <v>0</v>
      </c>
    </row>
    <row r="696" spans="1:31" x14ac:dyDescent="0.25">
      <c r="A696">
        <v>1009840</v>
      </c>
      <c r="B696">
        <v>10134</v>
      </c>
      <c r="C696" t="s">
        <v>33</v>
      </c>
      <c r="D696" t="str">
        <f t="shared" si="31"/>
        <v>DAIRY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100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 t="str">
        <f t="shared" si="32"/>
        <v>NotLake</v>
      </c>
      <c r="AA696">
        <v>10</v>
      </c>
      <c r="AB696">
        <v>2209249.6887300001</v>
      </c>
      <c r="AC696">
        <v>92.249052000000006</v>
      </c>
      <c r="AD696">
        <v>252.13079999999999</v>
      </c>
      <c r="AE696">
        <v>2.52E-4</v>
      </c>
    </row>
    <row r="697" spans="1:31" x14ac:dyDescent="0.25">
      <c r="A697">
        <v>1009840</v>
      </c>
      <c r="B697">
        <v>10134</v>
      </c>
      <c r="C697" t="s">
        <v>33</v>
      </c>
      <c r="D697" t="str">
        <f t="shared" si="31"/>
        <v>WATER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100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25</v>
      </c>
      <c r="Z697" t="str">
        <f t="shared" si="32"/>
        <v>Lake</v>
      </c>
      <c r="AA697">
        <v>10</v>
      </c>
      <c r="AB697">
        <v>2209249.6887300001</v>
      </c>
      <c r="AC697">
        <v>252.74391700000001</v>
      </c>
      <c r="AD697">
        <v>439.93007999999998</v>
      </c>
      <c r="AE697">
        <v>4.4000000000000002E-4</v>
      </c>
    </row>
    <row r="698" spans="1:31" x14ac:dyDescent="0.25">
      <c r="A698">
        <v>1009840</v>
      </c>
      <c r="B698">
        <v>10134</v>
      </c>
      <c r="C698" t="s">
        <v>33</v>
      </c>
      <c r="D698" t="str">
        <f t="shared" si="31"/>
        <v>WATER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100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25</v>
      </c>
      <c r="Z698" t="str">
        <f t="shared" si="32"/>
        <v>Lake</v>
      </c>
      <c r="AA698">
        <v>10</v>
      </c>
      <c r="AB698">
        <v>2209249.6887300001</v>
      </c>
      <c r="AC698">
        <v>122.118088</v>
      </c>
      <c r="AD698">
        <v>469.34766400000001</v>
      </c>
      <c r="AE698">
        <v>4.6900000000000002E-4</v>
      </c>
    </row>
    <row r="699" spans="1:31" x14ac:dyDescent="0.25">
      <c r="A699">
        <v>1009840</v>
      </c>
      <c r="B699">
        <v>10134</v>
      </c>
      <c r="C699" t="s">
        <v>33</v>
      </c>
      <c r="D699" t="str">
        <f t="shared" si="31"/>
        <v>WATER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100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25</v>
      </c>
      <c r="Z699" t="str">
        <f t="shared" si="32"/>
        <v>Lake</v>
      </c>
      <c r="AA699">
        <v>10</v>
      </c>
      <c r="AB699">
        <v>2209249.6887300001</v>
      </c>
      <c r="AC699">
        <v>65.809725999999998</v>
      </c>
      <c r="AD699">
        <v>92.112521999999998</v>
      </c>
      <c r="AE699">
        <v>9.2E-5</v>
      </c>
    </row>
    <row r="700" spans="1:31" x14ac:dyDescent="0.25">
      <c r="A700">
        <v>1010140</v>
      </c>
      <c r="B700">
        <v>9960</v>
      </c>
      <c r="C700" t="s">
        <v>33</v>
      </c>
      <c r="D700" t="str">
        <f t="shared" si="31"/>
        <v>DAIRY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100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t="str">
        <f t="shared" si="32"/>
        <v>NotLake</v>
      </c>
      <c r="AA700">
        <v>16</v>
      </c>
      <c r="AB700">
        <v>369568.60371699999</v>
      </c>
      <c r="AC700">
        <v>1693.381738</v>
      </c>
      <c r="AD700">
        <v>57426.261860999999</v>
      </c>
      <c r="AE700">
        <v>5.7425999999999998E-2</v>
      </c>
    </row>
    <row r="701" spans="1:31" x14ac:dyDescent="0.25">
      <c r="A701">
        <v>1010344</v>
      </c>
      <c r="B701">
        <v>10142</v>
      </c>
      <c r="C701" t="s">
        <v>33</v>
      </c>
      <c r="D701" t="str">
        <f t="shared" si="31"/>
        <v>DAIRY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100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t="str">
        <f t="shared" si="32"/>
        <v>NotLake</v>
      </c>
      <c r="AA701">
        <v>26</v>
      </c>
      <c r="AB701">
        <v>583577.16153899999</v>
      </c>
      <c r="AC701">
        <v>921.99949900000001</v>
      </c>
      <c r="AD701">
        <v>14112.531738</v>
      </c>
      <c r="AE701">
        <v>1.4113000000000001E-2</v>
      </c>
    </row>
    <row r="702" spans="1:31" x14ac:dyDescent="0.25">
      <c r="A702">
        <v>1009840</v>
      </c>
      <c r="B702">
        <v>10134</v>
      </c>
      <c r="C702" t="s">
        <v>33</v>
      </c>
      <c r="D702" t="str">
        <f t="shared" si="31"/>
        <v>WATER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100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25</v>
      </c>
      <c r="Z702" t="str">
        <f t="shared" si="32"/>
        <v>Lake</v>
      </c>
      <c r="AA702">
        <v>10</v>
      </c>
      <c r="AB702">
        <v>2209249.6887300001</v>
      </c>
      <c r="AC702">
        <v>84.085438999999994</v>
      </c>
      <c r="AD702">
        <v>112.05707700000001</v>
      </c>
      <c r="AE702">
        <v>1.12E-4</v>
      </c>
    </row>
    <row r="703" spans="1:31" x14ac:dyDescent="0.25">
      <c r="A703">
        <v>1009840</v>
      </c>
      <c r="B703">
        <v>10134</v>
      </c>
      <c r="C703" t="s">
        <v>33</v>
      </c>
      <c r="D703" t="str">
        <f t="shared" si="31"/>
        <v>WATER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100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25</v>
      </c>
      <c r="Z703" t="str">
        <f t="shared" si="32"/>
        <v>Lake</v>
      </c>
      <c r="AA703">
        <v>10</v>
      </c>
      <c r="AB703">
        <v>2209249.6887300001</v>
      </c>
      <c r="AC703">
        <v>15.4474</v>
      </c>
      <c r="AD703">
        <v>3.1476690000000001</v>
      </c>
      <c r="AE703">
        <v>3.0000000000000001E-6</v>
      </c>
    </row>
    <row r="704" spans="1:31" x14ac:dyDescent="0.25">
      <c r="A704">
        <v>1009840</v>
      </c>
      <c r="B704">
        <v>10134</v>
      </c>
      <c r="C704" t="s">
        <v>33</v>
      </c>
      <c r="D704" t="str">
        <f t="shared" si="31"/>
        <v>DAIRY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100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 t="str">
        <f t="shared" si="32"/>
        <v>NotLake</v>
      </c>
      <c r="AA704">
        <v>10</v>
      </c>
      <c r="AB704">
        <v>2209249.6887300001</v>
      </c>
      <c r="AC704">
        <v>861.06866400000001</v>
      </c>
      <c r="AD704">
        <v>5661.4104209999996</v>
      </c>
      <c r="AE704">
        <v>5.6610000000000002E-3</v>
      </c>
    </row>
    <row r="705" spans="1:31" x14ac:dyDescent="0.25">
      <c r="A705">
        <v>1010139</v>
      </c>
      <c r="B705">
        <v>9961</v>
      </c>
      <c r="C705" t="s">
        <v>33</v>
      </c>
      <c r="D705" t="str">
        <f t="shared" si="31"/>
        <v>DAIRY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100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 t="str">
        <f t="shared" si="32"/>
        <v>NotLake</v>
      </c>
      <c r="AA705">
        <v>15</v>
      </c>
      <c r="AB705">
        <v>1662601.4959199999</v>
      </c>
      <c r="AC705">
        <v>1693.471812</v>
      </c>
      <c r="AD705">
        <v>8764.7731939999994</v>
      </c>
      <c r="AE705">
        <v>8.7650000000000002E-3</v>
      </c>
    </row>
    <row r="706" spans="1:31" x14ac:dyDescent="0.25">
      <c r="A706">
        <v>1010139</v>
      </c>
      <c r="B706">
        <v>9961</v>
      </c>
      <c r="C706" t="s">
        <v>33</v>
      </c>
      <c r="D706" t="str">
        <f t="shared" si="31"/>
        <v>WATER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100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25</v>
      </c>
      <c r="Z706" t="str">
        <f t="shared" si="32"/>
        <v>Lake</v>
      </c>
      <c r="AA706">
        <v>15</v>
      </c>
      <c r="AB706">
        <v>1662601.4959199999</v>
      </c>
      <c r="AC706">
        <v>645.82450500000004</v>
      </c>
      <c r="AD706">
        <v>5347.1101230000004</v>
      </c>
      <c r="AE706">
        <v>5.3470000000000002E-3</v>
      </c>
    </row>
    <row r="707" spans="1:31" x14ac:dyDescent="0.25">
      <c r="A707">
        <v>1010219</v>
      </c>
      <c r="B707">
        <v>10417</v>
      </c>
      <c r="C707" t="s">
        <v>33</v>
      </c>
      <c r="D707" t="str">
        <f t="shared" ref="D707:D727" si="33">IF(Y707=0,C707,"WATER")</f>
        <v>DAIRY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100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 t="str">
        <f t="shared" ref="Z707:Z727" si="34">IF(Y707=0,"NotLake","Lake")</f>
        <v>NotLake</v>
      </c>
      <c r="AA707">
        <v>18</v>
      </c>
      <c r="AB707">
        <v>1828937.2124999999</v>
      </c>
      <c r="AC707">
        <v>2164.2824609999998</v>
      </c>
      <c r="AD707">
        <v>27885.673761999999</v>
      </c>
      <c r="AE707">
        <v>2.7886000000000001E-2</v>
      </c>
    </row>
    <row r="708" spans="1:31" x14ac:dyDescent="0.25">
      <c r="A708">
        <v>1010139</v>
      </c>
      <c r="B708">
        <v>9961</v>
      </c>
      <c r="C708" t="s">
        <v>33</v>
      </c>
      <c r="D708" t="str">
        <f t="shared" si="33"/>
        <v>DAIRY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100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 t="str">
        <f t="shared" si="34"/>
        <v>NotLake</v>
      </c>
      <c r="AA708">
        <v>15</v>
      </c>
      <c r="AB708">
        <v>1662601.4959199999</v>
      </c>
      <c r="AC708">
        <v>220.97496799999999</v>
      </c>
      <c r="AD708">
        <v>3018.9340390000002</v>
      </c>
      <c r="AE708">
        <v>3.019E-3</v>
      </c>
    </row>
    <row r="709" spans="1:31" x14ac:dyDescent="0.25">
      <c r="A709">
        <v>1010139</v>
      </c>
      <c r="B709">
        <v>9961</v>
      </c>
      <c r="C709" t="s">
        <v>33</v>
      </c>
      <c r="D709" t="str">
        <f t="shared" si="33"/>
        <v>DAIRY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100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 t="str">
        <f t="shared" si="34"/>
        <v>NotLake</v>
      </c>
      <c r="AA709">
        <v>15</v>
      </c>
      <c r="AB709">
        <v>1662601.4959199999</v>
      </c>
      <c r="AC709">
        <v>6.9039279999999996</v>
      </c>
      <c r="AD709">
        <v>0.39034799999999997</v>
      </c>
      <c r="AE709">
        <v>0</v>
      </c>
    </row>
    <row r="710" spans="1:31" x14ac:dyDescent="0.25">
      <c r="A710">
        <v>1010139</v>
      </c>
      <c r="B710">
        <v>9961</v>
      </c>
      <c r="C710" t="s">
        <v>33</v>
      </c>
      <c r="D710" t="str">
        <f t="shared" si="33"/>
        <v>DAIRY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100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 t="str">
        <f t="shared" si="34"/>
        <v>NotLake</v>
      </c>
      <c r="AA710">
        <v>15</v>
      </c>
      <c r="AB710">
        <v>1662601.4959199999</v>
      </c>
      <c r="AC710">
        <v>553.88513899999998</v>
      </c>
      <c r="AD710">
        <v>8121.9927669999997</v>
      </c>
      <c r="AE710">
        <v>8.1220000000000007E-3</v>
      </c>
    </row>
    <row r="711" spans="1:31" x14ac:dyDescent="0.25">
      <c r="A711">
        <v>1009840</v>
      </c>
      <c r="B711">
        <v>10134</v>
      </c>
      <c r="C711" t="s">
        <v>33</v>
      </c>
      <c r="D711" t="str">
        <f t="shared" si="33"/>
        <v>DAIRY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100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 t="str">
        <f t="shared" si="34"/>
        <v>NotLake</v>
      </c>
      <c r="AA711">
        <v>10</v>
      </c>
      <c r="AB711">
        <v>2209249.6887300001</v>
      </c>
      <c r="AC711">
        <v>174.351258</v>
      </c>
      <c r="AD711">
        <v>1456.5599790000001</v>
      </c>
      <c r="AE711">
        <v>1.457E-3</v>
      </c>
    </row>
    <row r="712" spans="1:31" x14ac:dyDescent="0.25">
      <c r="A712">
        <v>1009840</v>
      </c>
      <c r="B712">
        <v>10134</v>
      </c>
      <c r="C712" t="s">
        <v>33</v>
      </c>
      <c r="D712" t="str">
        <f t="shared" si="33"/>
        <v>DAIRY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100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 t="str">
        <f t="shared" si="34"/>
        <v>NotLake</v>
      </c>
      <c r="AA712">
        <v>10</v>
      </c>
      <c r="AB712">
        <v>2209249.6887300001</v>
      </c>
      <c r="AC712">
        <v>402.70411200000001</v>
      </c>
      <c r="AD712">
        <v>8041.4420689999997</v>
      </c>
      <c r="AE712">
        <v>8.0409999999999995E-3</v>
      </c>
    </row>
    <row r="713" spans="1:31" x14ac:dyDescent="0.25">
      <c r="A713">
        <v>1009804</v>
      </c>
      <c r="B713">
        <v>9676</v>
      </c>
      <c r="C713" t="s">
        <v>33</v>
      </c>
      <c r="D713" t="str">
        <f t="shared" si="33"/>
        <v>DAIRY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100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 t="str">
        <f t="shared" si="34"/>
        <v>NotLake</v>
      </c>
      <c r="AA713">
        <v>7</v>
      </c>
      <c r="AB713">
        <v>235586.04437799999</v>
      </c>
      <c r="AC713">
        <v>7.5146870000000003</v>
      </c>
      <c r="AD713">
        <v>1.399939</v>
      </c>
      <c r="AE713">
        <v>9.9999999999999995E-7</v>
      </c>
    </row>
    <row r="714" spans="1:31" x14ac:dyDescent="0.25">
      <c r="A714">
        <v>1009840</v>
      </c>
      <c r="B714">
        <v>10134</v>
      </c>
      <c r="C714" t="s">
        <v>33</v>
      </c>
      <c r="D714" t="str">
        <f t="shared" si="33"/>
        <v>DAIRY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100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 t="str">
        <f t="shared" si="34"/>
        <v>NotLake</v>
      </c>
      <c r="AA714">
        <v>10</v>
      </c>
      <c r="AB714">
        <v>2209249.6887300001</v>
      </c>
      <c r="AC714">
        <v>197.510119</v>
      </c>
      <c r="AD714">
        <v>1245.12978</v>
      </c>
      <c r="AE714">
        <v>1.245E-3</v>
      </c>
    </row>
    <row r="715" spans="1:31" x14ac:dyDescent="0.25">
      <c r="A715">
        <v>1009698</v>
      </c>
      <c r="B715">
        <v>9480</v>
      </c>
      <c r="C715" t="s">
        <v>33</v>
      </c>
      <c r="D715" t="str">
        <f t="shared" si="33"/>
        <v>DAIRY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100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 t="str">
        <f t="shared" si="34"/>
        <v>NotLake</v>
      </c>
      <c r="AA715">
        <v>2</v>
      </c>
      <c r="AB715">
        <v>2613890.82766</v>
      </c>
      <c r="AC715">
        <v>1394.856532</v>
      </c>
      <c r="AD715">
        <v>9293.4947499999998</v>
      </c>
      <c r="AE715">
        <v>9.2929999999999992E-3</v>
      </c>
    </row>
    <row r="716" spans="1:31" x14ac:dyDescent="0.25">
      <c r="A716">
        <v>1009710</v>
      </c>
      <c r="B716">
        <v>9610</v>
      </c>
      <c r="C716" t="s">
        <v>33</v>
      </c>
      <c r="D716" t="str">
        <f t="shared" si="33"/>
        <v>DAIRY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100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 t="str">
        <f t="shared" si="34"/>
        <v>NotLake</v>
      </c>
      <c r="AA716">
        <v>4</v>
      </c>
      <c r="AB716">
        <v>624933.80375199998</v>
      </c>
      <c r="AC716">
        <v>1862.6767809999999</v>
      </c>
      <c r="AD716">
        <v>13812.058732</v>
      </c>
      <c r="AE716">
        <v>1.3812E-2</v>
      </c>
    </row>
    <row r="717" spans="1:31" x14ac:dyDescent="0.25">
      <c r="A717">
        <v>1010139</v>
      </c>
      <c r="B717">
        <v>9961</v>
      </c>
      <c r="C717" t="s">
        <v>38</v>
      </c>
      <c r="D717" t="str">
        <f t="shared" si="33"/>
        <v>ONIONS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100</v>
      </c>
      <c r="V717">
        <v>0</v>
      </c>
      <c r="W717">
        <v>0</v>
      </c>
      <c r="X717">
        <v>0</v>
      </c>
      <c r="Y717">
        <v>0</v>
      </c>
      <c r="Z717" t="str">
        <f t="shared" si="34"/>
        <v>NotLake</v>
      </c>
      <c r="AA717">
        <v>15</v>
      </c>
      <c r="AB717">
        <v>1662601.4959199999</v>
      </c>
      <c r="AC717">
        <v>105.836077</v>
      </c>
      <c r="AD717">
        <v>174.44963999999999</v>
      </c>
      <c r="AE717">
        <v>1.74E-4</v>
      </c>
    </row>
    <row r="718" spans="1:31" x14ac:dyDescent="0.25">
      <c r="A718">
        <v>1010219</v>
      </c>
      <c r="B718">
        <v>10417</v>
      </c>
      <c r="C718" t="s">
        <v>38</v>
      </c>
      <c r="D718" t="str">
        <f t="shared" si="33"/>
        <v>ONIONS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  <c r="V718">
        <v>0</v>
      </c>
      <c r="W718">
        <v>0</v>
      </c>
      <c r="X718">
        <v>0</v>
      </c>
      <c r="Y718">
        <v>0</v>
      </c>
      <c r="Z718" t="str">
        <f t="shared" si="34"/>
        <v>NotLake</v>
      </c>
      <c r="AA718">
        <v>18</v>
      </c>
      <c r="AB718">
        <v>1828937.2124999999</v>
      </c>
      <c r="AC718">
        <v>301.01704100000001</v>
      </c>
      <c r="AD718">
        <v>355.46767299999999</v>
      </c>
      <c r="AE718">
        <v>3.5500000000000001E-4</v>
      </c>
    </row>
    <row r="719" spans="1:31" x14ac:dyDescent="0.25">
      <c r="A719">
        <v>1010139</v>
      </c>
      <c r="B719">
        <v>9961</v>
      </c>
      <c r="C719" t="s">
        <v>38</v>
      </c>
      <c r="D719" t="str">
        <f t="shared" si="33"/>
        <v>ONIONS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100</v>
      </c>
      <c r="V719">
        <v>0</v>
      </c>
      <c r="W719">
        <v>0</v>
      </c>
      <c r="X719">
        <v>0</v>
      </c>
      <c r="Y719">
        <v>0</v>
      </c>
      <c r="Z719" t="str">
        <f t="shared" si="34"/>
        <v>NotLake</v>
      </c>
      <c r="AA719">
        <v>15</v>
      </c>
      <c r="AB719">
        <v>1662601.4959199999</v>
      </c>
      <c r="AC719">
        <v>175.814694</v>
      </c>
      <c r="AD719">
        <v>874.57671000000005</v>
      </c>
      <c r="AE719">
        <v>8.7500000000000002E-4</v>
      </c>
    </row>
    <row r="720" spans="1:31" x14ac:dyDescent="0.25">
      <c r="A720">
        <v>1010219</v>
      </c>
      <c r="B720">
        <v>10417</v>
      </c>
      <c r="C720" t="s">
        <v>38</v>
      </c>
      <c r="D720" t="str">
        <f t="shared" si="33"/>
        <v>ONIONS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100</v>
      </c>
      <c r="V720">
        <v>0</v>
      </c>
      <c r="W720">
        <v>0</v>
      </c>
      <c r="X720">
        <v>0</v>
      </c>
      <c r="Y720">
        <v>0</v>
      </c>
      <c r="Z720" t="str">
        <f t="shared" si="34"/>
        <v>NotLake</v>
      </c>
      <c r="AA720">
        <v>18</v>
      </c>
      <c r="AB720">
        <v>1828937.2124999999</v>
      </c>
      <c r="AC720">
        <v>286.72619800000001</v>
      </c>
      <c r="AD720">
        <v>1407.2264090000001</v>
      </c>
      <c r="AE720">
        <v>1.407E-3</v>
      </c>
    </row>
    <row r="721" spans="1:31" x14ac:dyDescent="0.25">
      <c r="A721">
        <v>1010219</v>
      </c>
      <c r="B721">
        <v>10417</v>
      </c>
      <c r="C721" t="s">
        <v>38</v>
      </c>
      <c r="D721" t="str">
        <f t="shared" si="33"/>
        <v>ONIONS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100</v>
      </c>
      <c r="V721">
        <v>0</v>
      </c>
      <c r="W721">
        <v>0</v>
      </c>
      <c r="X721">
        <v>0</v>
      </c>
      <c r="Y721">
        <v>0</v>
      </c>
      <c r="Z721" t="str">
        <f t="shared" si="34"/>
        <v>NotLake</v>
      </c>
      <c r="AA721">
        <v>18</v>
      </c>
      <c r="AB721">
        <v>1828937.2124999999</v>
      </c>
      <c r="AC721">
        <v>218.82540700000001</v>
      </c>
      <c r="AD721">
        <v>1269.1055859999999</v>
      </c>
      <c r="AE721">
        <v>1.2689999999999999E-3</v>
      </c>
    </row>
    <row r="722" spans="1:31" x14ac:dyDescent="0.25">
      <c r="A722">
        <v>1010139</v>
      </c>
      <c r="B722">
        <v>9961</v>
      </c>
      <c r="C722" t="s">
        <v>38</v>
      </c>
      <c r="D722" t="str">
        <f t="shared" si="33"/>
        <v>ONIONS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100</v>
      </c>
      <c r="V722">
        <v>0</v>
      </c>
      <c r="W722">
        <v>0</v>
      </c>
      <c r="X722">
        <v>0</v>
      </c>
      <c r="Y722">
        <v>0</v>
      </c>
      <c r="Z722" t="str">
        <f t="shared" si="34"/>
        <v>NotLake</v>
      </c>
      <c r="AA722">
        <v>15</v>
      </c>
      <c r="AB722">
        <v>1662601.4959199999</v>
      </c>
      <c r="AC722">
        <v>330.41670699999997</v>
      </c>
      <c r="AD722">
        <v>1303.428214</v>
      </c>
      <c r="AE722">
        <v>1.3029999999999999E-3</v>
      </c>
    </row>
    <row r="723" spans="1:31" x14ac:dyDescent="0.25">
      <c r="A723">
        <v>1010219</v>
      </c>
      <c r="B723">
        <v>10417</v>
      </c>
      <c r="C723" t="s">
        <v>38</v>
      </c>
      <c r="D723" t="str">
        <f t="shared" si="33"/>
        <v>ONIONS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100</v>
      </c>
      <c r="V723">
        <v>0</v>
      </c>
      <c r="W723">
        <v>0</v>
      </c>
      <c r="X723">
        <v>0</v>
      </c>
      <c r="Y723">
        <v>0</v>
      </c>
      <c r="Z723" t="str">
        <f t="shared" si="34"/>
        <v>NotLake</v>
      </c>
      <c r="AA723">
        <v>18</v>
      </c>
      <c r="AB723">
        <v>1828937.2124999999</v>
      </c>
      <c r="AC723">
        <v>122.624134</v>
      </c>
      <c r="AD723">
        <v>563.29854899999998</v>
      </c>
      <c r="AE723">
        <v>5.6300000000000002E-4</v>
      </c>
    </row>
    <row r="724" spans="1:31" x14ac:dyDescent="0.25">
      <c r="A724">
        <v>1010139</v>
      </c>
      <c r="B724">
        <v>9961</v>
      </c>
      <c r="C724" t="s">
        <v>38</v>
      </c>
      <c r="D724" t="str">
        <f t="shared" si="33"/>
        <v>ONIONS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100</v>
      </c>
      <c r="V724">
        <v>0</v>
      </c>
      <c r="W724">
        <v>0</v>
      </c>
      <c r="X724">
        <v>0</v>
      </c>
      <c r="Y724">
        <v>0</v>
      </c>
      <c r="Z724" t="str">
        <f t="shared" si="34"/>
        <v>NotLake</v>
      </c>
      <c r="AA724">
        <v>15</v>
      </c>
      <c r="AB724">
        <v>1662601.4959199999</v>
      </c>
      <c r="AC724">
        <v>951.04031699999996</v>
      </c>
      <c r="AD724">
        <v>49450.986359000002</v>
      </c>
      <c r="AE724">
        <v>4.9451000000000002E-2</v>
      </c>
    </row>
    <row r="725" spans="1:31" x14ac:dyDescent="0.25">
      <c r="A725">
        <v>1010219</v>
      </c>
      <c r="B725">
        <v>10417</v>
      </c>
      <c r="C725" t="s">
        <v>38</v>
      </c>
      <c r="D725" t="str">
        <f t="shared" si="33"/>
        <v>ONIONS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</v>
      </c>
      <c r="V725">
        <v>0</v>
      </c>
      <c r="W725">
        <v>0</v>
      </c>
      <c r="X725">
        <v>0</v>
      </c>
      <c r="Y725">
        <v>0</v>
      </c>
      <c r="Z725" t="str">
        <f t="shared" si="34"/>
        <v>NotLake</v>
      </c>
      <c r="AA725">
        <v>18</v>
      </c>
      <c r="AB725">
        <v>1828937.2124999999</v>
      </c>
      <c r="AC725">
        <v>489.75186400000001</v>
      </c>
      <c r="AD725">
        <v>5598.8629039999996</v>
      </c>
      <c r="AE725">
        <v>5.5989999999999998E-3</v>
      </c>
    </row>
    <row r="726" spans="1:31" x14ac:dyDescent="0.25">
      <c r="A726">
        <v>1010139</v>
      </c>
      <c r="B726">
        <v>9961</v>
      </c>
      <c r="C726" t="s">
        <v>52</v>
      </c>
      <c r="D726" t="str">
        <f t="shared" si="33"/>
        <v>MAIZE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100</v>
      </c>
      <c r="U726">
        <v>0</v>
      </c>
      <c r="V726">
        <v>0</v>
      </c>
      <c r="W726">
        <v>0</v>
      </c>
      <c r="X726">
        <v>0</v>
      </c>
      <c r="Y726">
        <v>0</v>
      </c>
      <c r="Z726" t="str">
        <f t="shared" si="34"/>
        <v>NotLake</v>
      </c>
      <c r="AA726">
        <v>15</v>
      </c>
      <c r="AB726">
        <v>1662601.4959199999</v>
      </c>
      <c r="AC726">
        <v>313.999256</v>
      </c>
      <c r="AD726">
        <v>611.01977299999999</v>
      </c>
      <c r="AE726">
        <v>6.11E-4</v>
      </c>
    </row>
    <row r="727" spans="1:31" x14ac:dyDescent="0.25">
      <c r="A727">
        <v>1010140</v>
      </c>
      <c r="B727">
        <v>9960</v>
      </c>
      <c r="C727" t="s">
        <v>40</v>
      </c>
      <c r="D727" t="str">
        <f t="shared" si="33"/>
        <v>APPLES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100</v>
      </c>
      <c r="W727">
        <v>0</v>
      </c>
      <c r="X727">
        <v>0</v>
      </c>
      <c r="Y727">
        <v>0</v>
      </c>
      <c r="Z727" t="str">
        <f t="shared" si="34"/>
        <v>NotLake</v>
      </c>
      <c r="AA727">
        <v>16</v>
      </c>
      <c r="AB727">
        <v>369568.60371699999</v>
      </c>
      <c r="AC727">
        <v>457.25152200000002</v>
      </c>
      <c r="AD727">
        <v>3828.4064990000002</v>
      </c>
      <c r="AE727">
        <v>3.8279999999999998E-3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4C57-4860-48AF-BACB-E7609374B6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67D2-DFAD-4752-9296-AF4A44EB48D8}">
  <sheetPr codeName="Sheet3"/>
  <dimension ref="A1:O51"/>
  <sheetViews>
    <sheetView workbookViewId="0">
      <selection activeCell="N2" sqref="N2:N51"/>
    </sheetView>
  </sheetViews>
  <sheetFormatPr defaultRowHeight="15" x14ac:dyDescent="0.25"/>
  <cols>
    <col min="3" max="3" width="12" bestFit="1" customWidth="1"/>
    <col min="4" max="4" width="18.140625" bestFit="1" customWidth="1"/>
    <col min="13" max="13" width="16.5703125" bestFit="1" customWidth="1"/>
  </cols>
  <sheetData>
    <row r="1" spans="1:15" x14ac:dyDescent="0.25">
      <c r="A1" t="s">
        <v>7</v>
      </c>
      <c r="B1" t="s">
        <v>25</v>
      </c>
      <c r="C1" t="s">
        <v>11</v>
      </c>
      <c r="D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 x14ac:dyDescent="0.25">
      <c r="A2">
        <v>1009647</v>
      </c>
      <c r="B2">
        <v>9454</v>
      </c>
      <c r="C2">
        <v>323.19719400000002</v>
      </c>
      <c r="D2">
        <v>323.19719400000002</v>
      </c>
      <c r="J2">
        <v>1009647</v>
      </c>
      <c r="K2">
        <v>9454</v>
      </c>
      <c r="L2">
        <v>323.19719370000001</v>
      </c>
      <c r="M2">
        <v>0</v>
      </c>
      <c r="N2">
        <f t="shared" ref="N2:N33" si="0">_xlfn.IFNA(VLOOKUP(J2,$A$1:$D$36,4,FALSE),M2)</f>
        <v>323.19719400000002</v>
      </c>
      <c r="O2">
        <f t="shared" ref="O2:O33" si="1">MAX(0,L2-N2)</f>
        <v>0</v>
      </c>
    </row>
    <row r="3" spans="1:15" x14ac:dyDescent="0.25">
      <c r="A3">
        <v>1009699</v>
      </c>
      <c r="B3">
        <v>9479</v>
      </c>
      <c r="C3">
        <v>285.93497500000001</v>
      </c>
      <c r="D3">
        <v>231.049015</v>
      </c>
      <c r="J3">
        <v>1009699</v>
      </c>
      <c r="K3">
        <v>9479</v>
      </c>
      <c r="L3">
        <v>285.9349747</v>
      </c>
      <c r="M3">
        <v>0</v>
      </c>
      <c r="N3">
        <f t="shared" si="0"/>
        <v>231.049015</v>
      </c>
      <c r="O3">
        <f t="shared" si="1"/>
        <v>54.885959700000001</v>
      </c>
    </row>
    <row r="4" spans="1:15" x14ac:dyDescent="0.25">
      <c r="A4">
        <v>1009728</v>
      </c>
      <c r="B4">
        <v>9526</v>
      </c>
      <c r="C4">
        <v>609.57535800000005</v>
      </c>
      <c r="D4">
        <v>434.19738000000001</v>
      </c>
      <c r="J4">
        <v>1009698</v>
      </c>
      <c r="K4">
        <v>9480</v>
      </c>
      <c r="L4">
        <v>3609.8772960000001</v>
      </c>
      <c r="M4">
        <v>2427.62</v>
      </c>
      <c r="N4">
        <f t="shared" si="0"/>
        <v>3608.1508180000001</v>
      </c>
      <c r="O4">
        <f t="shared" si="1"/>
        <v>1.7264780000000428</v>
      </c>
    </row>
    <row r="5" spans="1:15" x14ac:dyDescent="0.25">
      <c r="A5">
        <v>1009665</v>
      </c>
      <c r="B5">
        <v>9527</v>
      </c>
      <c r="C5">
        <v>484.485591</v>
      </c>
      <c r="D5">
        <v>221.544127</v>
      </c>
      <c r="J5">
        <v>1009728</v>
      </c>
      <c r="K5">
        <v>9526</v>
      </c>
      <c r="L5">
        <v>609.57535819999998</v>
      </c>
      <c r="M5">
        <v>302.13</v>
      </c>
      <c r="N5">
        <f t="shared" si="0"/>
        <v>434.19738000000001</v>
      </c>
      <c r="O5">
        <f t="shared" si="1"/>
        <v>175.37797819999997</v>
      </c>
    </row>
    <row r="6" spans="1:15" x14ac:dyDescent="0.25">
      <c r="A6">
        <v>1009710</v>
      </c>
      <c r="B6">
        <v>9610</v>
      </c>
      <c r="C6">
        <v>708.94281100000001</v>
      </c>
      <c r="D6">
        <v>631.84979799999996</v>
      </c>
      <c r="J6">
        <v>1009665</v>
      </c>
      <c r="K6">
        <v>9527</v>
      </c>
      <c r="L6">
        <v>484.485591</v>
      </c>
      <c r="M6">
        <v>98.08</v>
      </c>
      <c r="N6">
        <f t="shared" si="0"/>
        <v>221.544127</v>
      </c>
      <c r="O6">
        <f t="shared" si="1"/>
        <v>262.941464</v>
      </c>
    </row>
    <row r="7" spans="1:15" x14ac:dyDescent="0.25">
      <c r="A7">
        <v>1009752</v>
      </c>
      <c r="B7">
        <v>9528</v>
      </c>
      <c r="C7">
        <v>359.83644199999998</v>
      </c>
      <c r="D7">
        <v>359.83644199999998</v>
      </c>
      <c r="J7">
        <v>1009752</v>
      </c>
      <c r="K7">
        <v>9528</v>
      </c>
      <c r="L7">
        <v>359.83644249999998</v>
      </c>
      <c r="M7">
        <v>359.84</v>
      </c>
      <c r="N7">
        <f t="shared" si="0"/>
        <v>359.83644199999998</v>
      </c>
      <c r="O7">
        <f t="shared" si="1"/>
        <v>4.9999999873762135E-7</v>
      </c>
    </row>
    <row r="8" spans="1:15" x14ac:dyDescent="0.25">
      <c r="A8">
        <v>1009804</v>
      </c>
      <c r="B8">
        <v>9676</v>
      </c>
      <c r="C8">
        <v>511.89961599999998</v>
      </c>
      <c r="D8">
        <v>511.89961599999998</v>
      </c>
      <c r="J8">
        <v>1009710</v>
      </c>
      <c r="K8">
        <v>9610</v>
      </c>
      <c r="L8">
        <v>708.94281100000001</v>
      </c>
      <c r="M8">
        <v>0</v>
      </c>
      <c r="N8">
        <f t="shared" si="0"/>
        <v>631.84979799999996</v>
      </c>
      <c r="O8">
        <f t="shared" si="1"/>
        <v>77.093013000000042</v>
      </c>
    </row>
    <row r="9" spans="1:15" x14ac:dyDescent="0.25">
      <c r="A9">
        <v>1009808</v>
      </c>
      <c r="B9">
        <v>9675</v>
      </c>
      <c r="C9">
        <v>520.68264099999999</v>
      </c>
      <c r="D9">
        <v>372.47189200000003</v>
      </c>
      <c r="J9">
        <v>1009808</v>
      </c>
      <c r="K9">
        <v>9675</v>
      </c>
      <c r="L9">
        <v>520.68264079999994</v>
      </c>
      <c r="M9">
        <v>210.07</v>
      </c>
      <c r="N9">
        <f t="shared" si="0"/>
        <v>372.47189200000003</v>
      </c>
      <c r="O9">
        <f t="shared" si="1"/>
        <v>148.21074879999992</v>
      </c>
    </row>
    <row r="10" spans="1:15" x14ac:dyDescent="0.25">
      <c r="A10">
        <v>1009832</v>
      </c>
      <c r="B10">
        <v>9677</v>
      </c>
      <c r="C10">
        <v>1865.908707</v>
      </c>
      <c r="D10">
        <v>1865.908707</v>
      </c>
      <c r="J10">
        <v>1009804</v>
      </c>
      <c r="K10">
        <v>9676</v>
      </c>
      <c r="L10">
        <v>511.8996156</v>
      </c>
      <c r="M10">
        <v>487.53</v>
      </c>
      <c r="N10">
        <f t="shared" si="0"/>
        <v>511.89961599999998</v>
      </c>
      <c r="O10">
        <f t="shared" si="1"/>
        <v>0</v>
      </c>
    </row>
    <row r="11" spans="1:15" x14ac:dyDescent="0.25">
      <c r="A11">
        <v>1010121</v>
      </c>
      <c r="B11">
        <v>9962</v>
      </c>
      <c r="C11">
        <v>2548.8371739999998</v>
      </c>
      <c r="D11">
        <v>2548.8371739999998</v>
      </c>
      <c r="J11">
        <v>1009832</v>
      </c>
      <c r="K11">
        <v>9677</v>
      </c>
      <c r="L11">
        <v>1865.908707</v>
      </c>
      <c r="M11">
        <v>1865.91</v>
      </c>
      <c r="N11">
        <f t="shared" si="0"/>
        <v>1865.908707</v>
      </c>
      <c r="O11">
        <f t="shared" si="1"/>
        <v>0</v>
      </c>
    </row>
    <row r="12" spans="1:15" x14ac:dyDescent="0.25">
      <c r="A12">
        <v>1009885</v>
      </c>
      <c r="B12">
        <v>9905</v>
      </c>
      <c r="C12">
        <v>1113.136252</v>
      </c>
      <c r="D12">
        <v>945.05175299999996</v>
      </c>
      <c r="J12">
        <v>1009885</v>
      </c>
      <c r="K12">
        <v>9905</v>
      </c>
      <c r="L12">
        <v>1113.136252</v>
      </c>
      <c r="M12">
        <v>740.29</v>
      </c>
      <c r="N12">
        <f t="shared" si="0"/>
        <v>945.05175299999996</v>
      </c>
      <c r="O12">
        <f t="shared" si="1"/>
        <v>168.08449900000005</v>
      </c>
    </row>
    <row r="13" spans="1:15" x14ac:dyDescent="0.25">
      <c r="A13">
        <v>1010139</v>
      </c>
      <c r="B13">
        <v>9961</v>
      </c>
      <c r="C13">
        <v>1620.5184650000001</v>
      </c>
      <c r="D13">
        <v>1211.5376739999999</v>
      </c>
      <c r="J13">
        <v>1010106</v>
      </c>
      <c r="K13">
        <v>9923</v>
      </c>
      <c r="L13">
        <v>202.18855669999999</v>
      </c>
      <c r="M13">
        <v>0</v>
      </c>
      <c r="N13">
        <f t="shared" si="0"/>
        <v>0</v>
      </c>
      <c r="O13">
        <f t="shared" si="1"/>
        <v>202.18855669999999</v>
      </c>
    </row>
    <row r="14" spans="1:15" x14ac:dyDescent="0.25">
      <c r="A14">
        <v>1010120</v>
      </c>
      <c r="B14">
        <v>9963</v>
      </c>
      <c r="C14">
        <v>593.69625199999996</v>
      </c>
      <c r="D14">
        <v>593.69625199999996</v>
      </c>
      <c r="J14">
        <v>1010140</v>
      </c>
      <c r="K14">
        <v>9960</v>
      </c>
      <c r="L14">
        <v>322.13470960000001</v>
      </c>
      <c r="M14">
        <v>0</v>
      </c>
      <c r="N14">
        <f t="shared" si="0"/>
        <v>0</v>
      </c>
      <c r="O14">
        <f t="shared" si="1"/>
        <v>322.13470960000001</v>
      </c>
    </row>
    <row r="15" spans="1:15" x14ac:dyDescent="0.25">
      <c r="A15">
        <v>1010218</v>
      </c>
      <c r="B15">
        <v>10418</v>
      </c>
      <c r="C15">
        <v>508.88182399999999</v>
      </c>
      <c r="D15">
        <v>508.88182399999999</v>
      </c>
      <c r="J15">
        <v>1010139</v>
      </c>
      <c r="K15">
        <v>9961</v>
      </c>
      <c r="L15">
        <v>1620.5184650000001</v>
      </c>
      <c r="M15">
        <v>530.79999999999995</v>
      </c>
      <c r="N15">
        <f t="shared" si="0"/>
        <v>1211.5376739999999</v>
      </c>
      <c r="O15">
        <f t="shared" si="1"/>
        <v>408.98079100000018</v>
      </c>
    </row>
    <row r="16" spans="1:15" x14ac:dyDescent="0.25">
      <c r="A16">
        <v>1010287</v>
      </c>
      <c r="B16">
        <v>10419</v>
      </c>
      <c r="C16">
        <v>84.813507999999999</v>
      </c>
      <c r="D16">
        <v>84.813507999999999</v>
      </c>
      <c r="J16">
        <v>1010121</v>
      </c>
      <c r="K16">
        <v>9962</v>
      </c>
      <c r="L16">
        <v>2548.8371739999998</v>
      </c>
      <c r="M16">
        <v>2548.84</v>
      </c>
      <c r="N16">
        <f t="shared" si="0"/>
        <v>2548.8371739999998</v>
      </c>
      <c r="O16">
        <f t="shared" si="1"/>
        <v>0</v>
      </c>
    </row>
    <row r="17" spans="1:15" x14ac:dyDescent="0.25">
      <c r="A17">
        <v>1010300</v>
      </c>
      <c r="B17">
        <v>10371</v>
      </c>
      <c r="C17">
        <v>2998.6244080000001</v>
      </c>
      <c r="D17">
        <v>2998.6244080000001</v>
      </c>
      <c r="J17">
        <v>1010120</v>
      </c>
      <c r="K17">
        <v>9963</v>
      </c>
      <c r="L17">
        <v>593.6962522</v>
      </c>
      <c r="M17">
        <v>593.70000000000005</v>
      </c>
      <c r="N17">
        <f t="shared" si="0"/>
        <v>593.69625199999996</v>
      </c>
      <c r="O17">
        <f t="shared" si="1"/>
        <v>2.0000004496978363E-7</v>
      </c>
    </row>
    <row r="18" spans="1:15" x14ac:dyDescent="0.25">
      <c r="A18">
        <v>1009698</v>
      </c>
      <c r="B18">
        <v>9480</v>
      </c>
      <c r="C18">
        <v>3609.8772960000001</v>
      </c>
      <c r="D18">
        <v>3608.1508180000001</v>
      </c>
      <c r="J18">
        <v>1009840</v>
      </c>
      <c r="K18">
        <v>10134</v>
      </c>
      <c r="L18">
        <v>2673.6499119999999</v>
      </c>
      <c r="M18">
        <v>2199.9699999999998</v>
      </c>
      <c r="N18">
        <f t="shared" si="0"/>
        <v>2234.8917839999999</v>
      </c>
      <c r="O18">
        <f t="shared" si="1"/>
        <v>438.75812799999994</v>
      </c>
    </row>
    <row r="19" spans="1:15" x14ac:dyDescent="0.25">
      <c r="A19">
        <v>1010299</v>
      </c>
      <c r="B19">
        <v>10420</v>
      </c>
      <c r="C19">
        <v>169.627015</v>
      </c>
      <c r="D19">
        <v>169.627015</v>
      </c>
      <c r="J19">
        <v>1010344</v>
      </c>
      <c r="K19">
        <v>10142</v>
      </c>
      <c r="L19">
        <v>996.39057160000004</v>
      </c>
      <c r="M19">
        <v>0</v>
      </c>
      <c r="N19">
        <f t="shared" si="0"/>
        <v>0</v>
      </c>
      <c r="O19">
        <f t="shared" si="1"/>
        <v>996.39057160000004</v>
      </c>
    </row>
    <row r="20" spans="1:15" x14ac:dyDescent="0.25">
      <c r="A20">
        <v>1009840</v>
      </c>
      <c r="B20">
        <v>10134</v>
      </c>
      <c r="C20">
        <v>2673.6499119999999</v>
      </c>
      <c r="D20">
        <v>2234.8917839999999</v>
      </c>
      <c r="J20">
        <v>1010301</v>
      </c>
      <c r="K20">
        <v>10173</v>
      </c>
      <c r="L20">
        <v>974.74085249999996</v>
      </c>
      <c r="M20">
        <v>220.15</v>
      </c>
      <c r="N20">
        <f t="shared" si="0"/>
        <v>974.74085300000002</v>
      </c>
      <c r="O20">
        <f t="shared" si="1"/>
        <v>0</v>
      </c>
    </row>
    <row r="21" spans="1:15" x14ac:dyDescent="0.25">
      <c r="A21">
        <v>1010326</v>
      </c>
      <c r="B21">
        <v>10421</v>
      </c>
      <c r="C21">
        <v>212.03376900000001</v>
      </c>
      <c r="D21">
        <v>212.03376900000001</v>
      </c>
      <c r="J21">
        <v>1010288</v>
      </c>
      <c r="K21">
        <v>10178</v>
      </c>
      <c r="L21">
        <v>4586.5816839999998</v>
      </c>
      <c r="M21">
        <v>3302.92</v>
      </c>
      <c r="N21">
        <f t="shared" si="0"/>
        <v>3822.1966699999998</v>
      </c>
      <c r="O21">
        <f t="shared" si="1"/>
        <v>764.38501399999996</v>
      </c>
    </row>
    <row r="22" spans="1:15" x14ac:dyDescent="0.25">
      <c r="A22">
        <v>1010350</v>
      </c>
      <c r="B22">
        <v>10422</v>
      </c>
      <c r="C22">
        <v>72.392786000000001</v>
      </c>
      <c r="D22">
        <v>72.392786000000001</v>
      </c>
      <c r="J22">
        <v>1010404</v>
      </c>
      <c r="K22">
        <v>10182</v>
      </c>
      <c r="L22">
        <v>74.966256749999999</v>
      </c>
      <c r="M22">
        <v>0</v>
      </c>
      <c r="N22">
        <f t="shared" si="0"/>
        <v>0</v>
      </c>
      <c r="O22">
        <f t="shared" si="1"/>
        <v>74.966256749999999</v>
      </c>
    </row>
    <row r="23" spans="1:15" x14ac:dyDescent="0.25">
      <c r="A23">
        <v>1010219</v>
      </c>
      <c r="B23">
        <v>10417</v>
      </c>
      <c r="C23">
        <v>4758.7896209999999</v>
      </c>
      <c r="D23">
        <v>3751.789182</v>
      </c>
      <c r="J23">
        <v>1010423</v>
      </c>
      <c r="K23">
        <v>10241</v>
      </c>
      <c r="L23">
        <v>334.55041060000002</v>
      </c>
      <c r="M23">
        <v>59.1</v>
      </c>
      <c r="N23">
        <f t="shared" si="0"/>
        <v>164.409256</v>
      </c>
      <c r="O23">
        <f t="shared" si="1"/>
        <v>170.14115460000002</v>
      </c>
    </row>
    <row r="24" spans="1:15" x14ac:dyDescent="0.25">
      <c r="A24">
        <v>1010360</v>
      </c>
      <c r="B24">
        <v>10699</v>
      </c>
      <c r="C24">
        <v>132.364892</v>
      </c>
      <c r="D24">
        <v>132.364892</v>
      </c>
      <c r="J24">
        <v>1010366</v>
      </c>
      <c r="K24">
        <v>10263</v>
      </c>
      <c r="L24">
        <v>3295.0294549999999</v>
      </c>
      <c r="M24">
        <v>2574.12</v>
      </c>
      <c r="N24">
        <f t="shared" si="0"/>
        <v>2620.2558490000001</v>
      </c>
      <c r="O24">
        <f t="shared" si="1"/>
        <v>674.77360599999975</v>
      </c>
    </row>
    <row r="25" spans="1:15" x14ac:dyDescent="0.25">
      <c r="A25">
        <v>1010306</v>
      </c>
      <c r="B25">
        <v>10370</v>
      </c>
      <c r="C25">
        <v>506.754593</v>
      </c>
      <c r="D25">
        <v>506.754593</v>
      </c>
      <c r="J25">
        <v>1010388</v>
      </c>
      <c r="K25">
        <v>10275</v>
      </c>
      <c r="L25">
        <v>848.58422229999996</v>
      </c>
      <c r="M25">
        <v>0</v>
      </c>
      <c r="N25">
        <f t="shared" si="0"/>
        <v>98.932803000000007</v>
      </c>
      <c r="O25">
        <f t="shared" si="1"/>
        <v>749.65141929999993</v>
      </c>
    </row>
    <row r="26" spans="1:15" x14ac:dyDescent="0.25">
      <c r="A26">
        <v>1010301</v>
      </c>
      <c r="B26">
        <v>10173</v>
      </c>
      <c r="C26">
        <v>974.74085300000002</v>
      </c>
      <c r="D26">
        <v>974.74085300000002</v>
      </c>
      <c r="J26">
        <v>1010548</v>
      </c>
      <c r="K26">
        <v>10318</v>
      </c>
      <c r="L26">
        <v>262.1598406</v>
      </c>
      <c r="M26">
        <v>0</v>
      </c>
      <c r="N26">
        <f t="shared" si="0"/>
        <v>0</v>
      </c>
      <c r="O26">
        <f t="shared" si="1"/>
        <v>262.1598406</v>
      </c>
    </row>
    <row r="27" spans="1:15" x14ac:dyDescent="0.25">
      <c r="A27">
        <v>1010288</v>
      </c>
      <c r="B27">
        <v>10178</v>
      </c>
      <c r="C27">
        <v>4586.5816839999998</v>
      </c>
      <c r="D27">
        <v>3822.1966699999998</v>
      </c>
      <c r="J27">
        <v>1010556</v>
      </c>
      <c r="K27">
        <v>10368</v>
      </c>
      <c r="L27">
        <v>339.69798609999998</v>
      </c>
      <c r="M27">
        <v>0</v>
      </c>
      <c r="N27">
        <f t="shared" si="0"/>
        <v>0</v>
      </c>
      <c r="O27">
        <f t="shared" si="1"/>
        <v>339.69798609999998</v>
      </c>
    </row>
    <row r="28" spans="1:15" x14ac:dyDescent="0.25">
      <c r="A28">
        <v>1010371</v>
      </c>
      <c r="B28">
        <v>10698</v>
      </c>
      <c r="C28">
        <v>284.42655500000001</v>
      </c>
      <c r="D28">
        <v>284.42655500000001</v>
      </c>
      <c r="J28">
        <v>1010387</v>
      </c>
      <c r="K28">
        <v>10369</v>
      </c>
      <c r="L28">
        <v>794.19713220000006</v>
      </c>
      <c r="M28">
        <v>0</v>
      </c>
      <c r="N28">
        <f t="shared" si="0"/>
        <v>165.34743900000001</v>
      </c>
      <c r="O28">
        <f t="shared" si="1"/>
        <v>628.84969320000005</v>
      </c>
    </row>
    <row r="29" spans="1:15" x14ac:dyDescent="0.25">
      <c r="A29">
        <v>1010359</v>
      </c>
      <c r="B29">
        <v>10700</v>
      </c>
      <c r="C29">
        <v>881.13338399999998</v>
      </c>
      <c r="D29">
        <v>277.79402299999998</v>
      </c>
      <c r="J29">
        <v>1010306</v>
      </c>
      <c r="K29">
        <v>10370</v>
      </c>
      <c r="L29">
        <v>506.75459319999999</v>
      </c>
      <c r="M29">
        <v>15.69</v>
      </c>
      <c r="N29">
        <f t="shared" si="0"/>
        <v>506.754593</v>
      </c>
      <c r="O29">
        <f t="shared" si="1"/>
        <v>1.9999998812636477E-7</v>
      </c>
    </row>
    <row r="30" spans="1:15" x14ac:dyDescent="0.25">
      <c r="A30">
        <v>1010424</v>
      </c>
      <c r="B30">
        <v>10697</v>
      </c>
      <c r="C30">
        <v>459.19854099999998</v>
      </c>
      <c r="D30">
        <v>459.19854099999998</v>
      </c>
      <c r="J30">
        <v>1010300</v>
      </c>
      <c r="K30">
        <v>10371</v>
      </c>
      <c r="L30">
        <v>2998.6244080000001</v>
      </c>
      <c r="M30">
        <v>2998.62</v>
      </c>
      <c r="N30">
        <f t="shared" si="0"/>
        <v>2998.6244080000001</v>
      </c>
      <c r="O30">
        <f t="shared" si="1"/>
        <v>0</v>
      </c>
    </row>
    <row r="31" spans="1:15" x14ac:dyDescent="0.25">
      <c r="A31">
        <v>1010423</v>
      </c>
      <c r="B31">
        <v>10241</v>
      </c>
      <c r="C31">
        <v>334.550411</v>
      </c>
      <c r="D31">
        <v>164.409256</v>
      </c>
      <c r="J31">
        <v>1010461</v>
      </c>
      <c r="K31">
        <v>10402</v>
      </c>
      <c r="L31">
        <v>1570.3959620000001</v>
      </c>
      <c r="M31">
        <v>0</v>
      </c>
      <c r="N31">
        <f t="shared" si="0"/>
        <v>0</v>
      </c>
      <c r="O31">
        <f t="shared" si="1"/>
        <v>1570.3959620000001</v>
      </c>
    </row>
    <row r="32" spans="1:15" x14ac:dyDescent="0.25">
      <c r="A32">
        <v>1010366</v>
      </c>
      <c r="B32">
        <v>10263</v>
      </c>
      <c r="C32">
        <v>3295.0294549999999</v>
      </c>
      <c r="D32">
        <v>2620.2558490000001</v>
      </c>
      <c r="J32" s="3">
        <v>1010462</v>
      </c>
      <c r="K32" s="3">
        <v>10414</v>
      </c>
      <c r="L32">
        <v>1535.266744</v>
      </c>
      <c r="M32">
        <v>0</v>
      </c>
      <c r="N32">
        <f t="shared" si="0"/>
        <v>0</v>
      </c>
      <c r="O32">
        <f t="shared" si="1"/>
        <v>1535.266744</v>
      </c>
    </row>
    <row r="33" spans="1:15" x14ac:dyDescent="0.25">
      <c r="A33">
        <v>1010388</v>
      </c>
      <c r="B33">
        <v>10275</v>
      </c>
      <c r="C33">
        <v>848.58422199999995</v>
      </c>
      <c r="D33">
        <v>98.932803000000007</v>
      </c>
      <c r="J33">
        <v>1010398</v>
      </c>
      <c r="K33">
        <v>10415</v>
      </c>
      <c r="L33">
        <v>639.12433039999996</v>
      </c>
      <c r="M33">
        <v>0</v>
      </c>
      <c r="N33">
        <f t="shared" si="0"/>
        <v>0</v>
      </c>
      <c r="O33">
        <f t="shared" si="1"/>
        <v>639.12433039999996</v>
      </c>
    </row>
    <row r="34" spans="1:15" x14ac:dyDescent="0.25">
      <c r="A34">
        <v>1010387</v>
      </c>
      <c r="B34">
        <v>10369</v>
      </c>
      <c r="C34">
        <v>794.19713200000001</v>
      </c>
      <c r="D34">
        <v>165.34743900000001</v>
      </c>
      <c r="J34">
        <v>1010367</v>
      </c>
      <c r="K34">
        <v>10416</v>
      </c>
      <c r="L34">
        <v>259.58892520000001</v>
      </c>
      <c r="M34">
        <v>0</v>
      </c>
      <c r="N34">
        <f t="shared" ref="N34:N51" si="2">_xlfn.IFNA(VLOOKUP(J34,$A$1:$D$36,4,FALSE),M34)</f>
        <v>0</v>
      </c>
      <c r="O34">
        <f t="shared" ref="O34:O51" si="3">MAX(0,L34-N34)</f>
        <v>259.58892520000001</v>
      </c>
    </row>
    <row r="35" spans="1:15" x14ac:dyDescent="0.25">
      <c r="A35">
        <v>1010490</v>
      </c>
      <c r="B35">
        <v>10696</v>
      </c>
      <c r="C35">
        <v>2012.4523409999999</v>
      </c>
      <c r="D35">
        <v>1064.0347099999999</v>
      </c>
      <c r="J35">
        <v>1010219</v>
      </c>
      <c r="K35">
        <v>10417</v>
      </c>
      <c r="L35">
        <v>4758.7896209999999</v>
      </c>
      <c r="M35">
        <v>3286.75</v>
      </c>
      <c r="N35">
        <f t="shared" si="2"/>
        <v>3751.789182</v>
      </c>
      <c r="O35">
        <f t="shared" si="3"/>
        <v>1007.0004389999999</v>
      </c>
    </row>
    <row r="36" spans="1:15" x14ac:dyDescent="0.25">
      <c r="A36">
        <v>1010474</v>
      </c>
      <c r="B36">
        <v>10429</v>
      </c>
      <c r="C36">
        <v>2788.459257</v>
      </c>
      <c r="D36">
        <v>1519.3825489999999</v>
      </c>
      <c r="J36" s="3">
        <v>1010218</v>
      </c>
      <c r="K36" s="3">
        <v>10418</v>
      </c>
      <c r="L36">
        <v>508.88182449999999</v>
      </c>
      <c r="M36">
        <v>508.88</v>
      </c>
      <c r="N36">
        <f t="shared" si="2"/>
        <v>508.88182399999999</v>
      </c>
      <c r="O36">
        <f t="shared" si="3"/>
        <v>4.9999999873762135E-7</v>
      </c>
    </row>
    <row r="37" spans="1:15" x14ac:dyDescent="0.25">
      <c r="J37" s="3">
        <v>1010287</v>
      </c>
      <c r="K37" s="3">
        <v>10419</v>
      </c>
      <c r="L37">
        <v>84.8135075</v>
      </c>
      <c r="M37">
        <v>84.81</v>
      </c>
      <c r="N37">
        <f t="shared" si="2"/>
        <v>84.813507999999999</v>
      </c>
      <c r="O37">
        <f t="shared" si="3"/>
        <v>0</v>
      </c>
    </row>
    <row r="38" spans="1:15" x14ac:dyDescent="0.25">
      <c r="J38" s="3">
        <v>1010299</v>
      </c>
      <c r="K38" s="3">
        <v>10420</v>
      </c>
      <c r="L38">
        <v>169.6270154</v>
      </c>
      <c r="M38">
        <v>169.63</v>
      </c>
      <c r="N38">
        <f t="shared" si="2"/>
        <v>169.627015</v>
      </c>
      <c r="O38">
        <f t="shared" si="3"/>
        <v>4.0000000467443897E-7</v>
      </c>
    </row>
    <row r="39" spans="1:15" x14ac:dyDescent="0.25">
      <c r="J39" s="3">
        <v>1010326</v>
      </c>
      <c r="K39" s="3">
        <v>10421</v>
      </c>
      <c r="L39">
        <v>212.03376890000001</v>
      </c>
      <c r="M39">
        <v>212.03</v>
      </c>
      <c r="N39">
        <f t="shared" si="2"/>
        <v>212.03376900000001</v>
      </c>
      <c r="O39">
        <f t="shared" si="3"/>
        <v>0</v>
      </c>
    </row>
    <row r="40" spans="1:15" x14ac:dyDescent="0.25">
      <c r="J40" s="3">
        <v>1010350</v>
      </c>
      <c r="K40" s="3">
        <v>10422</v>
      </c>
      <c r="L40">
        <v>72.392786319999999</v>
      </c>
      <c r="M40">
        <v>72.39</v>
      </c>
      <c r="N40">
        <f t="shared" si="2"/>
        <v>72.392786000000001</v>
      </c>
      <c r="O40">
        <f t="shared" si="3"/>
        <v>3.1999999805520929E-7</v>
      </c>
    </row>
    <row r="41" spans="1:15" x14ac:dyDescent="0.25">
      <c r="J41">
        <v>1010474</v>
      </c>
      <c r="K41">
        <v>10429</v>
      </c>
      <c r="L41">
        <v>2788.459257</v>
      </c>
      <c r="M41">
        <v>1458.29</v>
      </c>
      <c r="N41">
        <f t="shared" si="2"/>
        <v>1519.3825489999999</v>
      </c>
      <c r="O41">
        <f t="shared" si="3"/>
        <v>1269.0767080000001</v>
      </c>
    </row>
    <row r="42" spans="1:15" x14ac:dyDescent="0.25">
      <c r="J42">
        <v>1010660</v>
      </c>
      <c r="K42">
        <v>10449</v>
      </c>
      <c r="L42">
        <v>436.9307015</v>
      </c>
      <c r="M42">
        <v>0</v>
      </c>
      <c r="N42">
        <f t="shared" si="2"/>
        <v>0</v>
      </c>
      <c r="O42">
        <f t="shared" si="3"/>
        <v>436.9307015</v>
      </c>
    </row>
    <row r="43" spans="1:15" x14ac:dyDescent="0.25">
      <c r="J43">
        <v>1010848</v>
      </c>
      <c r="K43">
        <v>10614</v>
      </c>
      <c r="L43">
        <v>539.30948539999997</v>
      </c>
      <c r="M43">
        <v>0</v>
      </c>
      <c r="N43">
        <f t="shared" si="2"/>
        <v>0</v>
      </c>
      <c r="O43">
        <f t="shared" si="3"/>
        <v>539.30948539999997</v>
      </c>
    </row>
    <row r="44" spans="1:15" x14ac:dyDescent="0.25">
      <c r="J44">
        <v>1010847</v>
      </c>
      <c r="K44">
        <v>10694</v>
      </c>
      <c r="L44">
        <v>768.90819039999997</v>
      </c>
      <c r="M44">
        <v>0</v>
      </c>
      <c r="N44">
        <f t="shared" si="2"/>
        <v>0</v>
      </c>
      <c r="O44">
        <f t="shared" si="3"/>
        <v>768.90819039999997</v>
      </c>
    </row>
    <row r="45" spans="1:15" x14ac:dyDescent="0.25">
      <c r="J45">
        <v>1010665</v>
      </c>
      <c r="K45">
        <v>10695</v>
      </c>
      <c r="L45">
        <v>911.12239920000002</v>
      </c>
      <c r="M45">
        <v>0</v>
      </c>
      <c r="N45">
        <f t="shared" si="2"/>
        <v>0</v>
      </c>
      <c r="O45">
        <f t="shared" si="3"/>
        <v>911.12239920000002</v>
      </c>
    </row>
    <row r="46" spans="1:15" x14ac:dyDescent="0.25">
      <c r="J46">
        <v>1010490</v>
      </c>
      <c r="K46">
        <v>10696</v>
      </c>
      <c r="L46">
        <v>2012.4523409999999</v>
      </c>
      <c r="M46">
        <v>909.23</v>
      </c>
      <c r="N46">
        <f t="shared" si="2"/>
        <v>1064.0347099999999</v>
      </c>
      <c r="O46">
        <f t="shared" si="3"/>
        <v>948.41763100000003</v>
      </c>
    </row>
    <row r="47" spans="1:15" x14ac:dyDescent="0.25">
      <c r="J47">
        <v>1010424</v>
      </c>
      <c r="K47">
        <v>10697</v>
      </c>
      <c r="L47">
        <v>459.19854079999999</v>
      </c>
      <c r="M47">
        <v>459.2</v>
      </c>
      <c r="N47">
        <f t="shared" si="2"/>
        <v>459.19854099999998</v>
      </c>
      <c r="O47">
        <f t="shared" si="3"/>
        <v>0</v>
      </c>
    </row>
    <row r="48" spans="1:15" x14ac:dyDescent="0.25">
      <c r="J48">
        <v>1010371</v>
      </c>
      <c r="K48">
        <v>10698</v>
      </c>
      <c r="L48">
        <v>284.42655459999997</v>
      </c>
      <c r="M48">
        <v>284.43</v>
      </c>
      <c r="N48">
        <f t="shared" si="2"/>
        <v>284.42655500000001</v>
      </c>
      <c r="O48">
        <f t="shared" si="3"/>
        <v>0</v>
      </c>
    </row>
    <row r="49" spans="10:15" x14ac:dyDescent="0.25">
      <c r="J49">
        <v>1010360</v>
      </c>
      <c r="K49">
        <v>10699</v>
      </c>
      <c r="L49">
        <v>132.36489230000001</v>
      </c>
      <c r="M49">
        <v>132.36000000000001</v>
      </c>
      <c r="N49">
        <f t="shared" si="2"/>
        <v>132.364892</v>
      </c>
      <c r="O49">
        <f t="shared" si="3"/>
        <v>3.0000001061125658E-7</v>
      </c>
    </row>
    <row r="50" spans="10:15" x14ac:dyDescent="0.25">
      <c r="J50">
        <v>1010359</v>
      </c>
      <c r="K50">
        <v>10700</v>
      </c>
      <c r="L50">
        <v>881.13338409999994</v>
      </c>
      <c r="M50">
        <v>69.05</v>
      </c>
      <c r="N50">
        <f t="shared" si="2"/>
        <v>277.79402299999998</v>
      </c>
      <c r="O50">
        <f t="shared" si="3"/>
        <v>603.33936109999991</v>
      </c>
    </row>
    <row r="51" spans="10:15" x14ac:dyDescent="0.25">
      <c r="J51">
        <v>1010422</v>
      </c>
      <c r="K51">
        <v>10701</v>
      </c>
      <c r="L51">
        <v>464.3415253</v>
      </c>
      <c r="M51">
        <v>0</v>
      </c>
      <c r="N51">
        <f t="shared" si="2"/>
        <v>0</v>
      </c>
      <c r="O51">
        <f t="shared" si="3"/>
        <v>464.3415253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LakeArea+0.66</vt:lpstr>
      <vt:lpstr>AreasRedonefromGIS</vt:lpstr>
      <vt:lpstr>Sheet1</vt:lpstr>
      <vt:lpstr>Riverlines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Semadeni-Davies</dc:creator>
  <cp:lastModifiedBy>Annette Semadeni-Davies</cp:lastModifiedBy>
  <dcterms:created xsi:type="dcterms:W3CDTF">2025-10-16T00:23:33Z</dcterms:created>
  <dcterms:modified xsi:type="dcterms:W3CDTF">2025-10-20T01:28:19Z</dcterms:modified>
</cp:coreProperties>
</file>